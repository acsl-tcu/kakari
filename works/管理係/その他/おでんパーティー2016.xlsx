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2600" windowHeight="16335" tabRatio="378"/>
  </bookViews>
  <sheets>
    <sheet name="Sheet1" sheetId="1" r:id="rId1"/>
    <sheet name="Sheet2" sheetId="2" r:id="rId2"/>
  </sheets>
  <calcPr calcId="14562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4" i="1" l="1"/>
  <c r="AV26" i="1"/>
  <c r="AQ24" i="1"/>
  <c r="AQ25" i="1"/>
  <c r="AS5" i="1"/>
  <c r="AT5" i="1"/>
  <c r="AU5" i="1"/>
  <c r="AV5" i="1"/>
  <c r="AV24" i="1"/>
  <c r="AS25" i="1"/>
  <c r="AS24" i="1"/>
  <c r="AS4" i="1"/>
  <c r="AU24" i="1"/>
  <c r="AS15" i="1"/>
  <c r="AS3" i="1"/>
  <c r="AQ1" i="1"/>
  <c r="AP24" i="1"/>
  <c r="AP25" i="1"/>
  <c r="AP26" i="1"/>
  <c r="G24" i="1"/>
  <c r="G25" i="1"/>
  <c r="G26" i="1"/>
  <c r="H24" i="1"/>
  <c r="H25" i="1"/>
  <c r="H26" i="1"/>
  <c r="I24" i="1"/>
  <c r="I25" i="1"/>
  <c r="I26" i="1"/>
  <c r="J24" i="1"/>
  <c r="J25" i="1"/>
  <c r="J26" i="1"/>
  <c r="K24" i="1"/>
  <c r="K25" i="1"/>
  <c r="K26" i="1"/>
  <c r="L24" i="1"/>
  <c r="L25" i="1"/>
  <c r="L26" i="1"/>
  <c r="M24" i="1"/>
  <c r="M25" i="1"/>
  <c r="M26" i="1"/>
  <c r="N24" i="1"/>
  <c r="N25" i="1"/>
  <c r="N26" i="1"/>
  <c r="O24" i="1"/>
  <c r="O25" i="1"/>
  <c r="O26" i="1"/>
  <c r="P24" i="1"/>
  <c r="P25" i="1"/>
  <c r="P26" i="1"/>
  <c r="Q24" i="1"/>
  <c r="Q25" i="1"/>
  <c r="Q26" i="1"/>
  <c r="R24" i="1"/>
  <c r="R25" i="1"/>
  <c r="R26" i="1"/>
  <c r="S24" i="1"/>
  <c r="S25" i="1"/>
  <c r="S26" i="1"/>
  <c r="T26" i="1"/>
  <c r="U24" i="1"/>
  <c r="U25" i="1"/>
  <c r="U26" i="1"/>
  <c r="V24" i="1"/>
  <c r="V25" i="1"/>
  <c r="V26" i="1"/>
  <c r="W24" i="1"/>
  <c r="W25" i="1"/>
  <c r="W26" i="1"/>
  <c r="X24" i="1"/>
  <c r="X25" i="1"/>
  <c r="X26" i="1"/>
  <c r="Y24" i="1"/>
  <c r="Y25" i="1"/>
  <c r="Y26" i="1"/>
  <c r="Z24" i="1"/>
  <c r="Z25" i="1"/>
  <c r="Z26" i="1"/>
  <c r="AA24" i="1"/>
  <c r="AA25" i="1"/>
  <c r="AA26" i="1"/>
  <c r="AB24" i="1"/>
  <c r="AB25" i="1"/>
  <c r="AB26" i="1"/>
  <c r="AC24" i="1"/>
  <c r="AC25" i="1"/>
  <c r="AC26" i="1"/>
  <c r="AD24" i="1"/>
  <c r="AD25" i="1"/>
  <c r="AD26" i="1"/>
  <c r="AE24" i="1"/>
  <c r="AE25" i="1"/>
  <c r="AE26" i="1"/>
  <c r="AF24" i="1"/>
  <c r="AF25" i="1"/>
  <c r="AF26" i="1"/>
  <c r="AG24" i="1"/>
  <c r="AG25" i="1"/>
  <c r="AG26" i="1"/>
  <c r="AH24" i="1"/>
  <c r="AH25" i="1"/>
  <c r="AH26" i="1"/>
  <c r="AI24" i="1"/>
  <c r="AI25" i="1"/>
  <c r="AI26" i="1"/>
  <c r="AJ24" i="1"/>
  <c r="AJ25" i="1"/>
  <c r="AJ26" i="1"/>
  <c r="AK24" i="1"/>
  <c r="AK25" i="1"/>
  <c r="AK26" i="1"/>
  <c r="AL24" i="1"/>
  <c r="AL25" i="1"/>
  <c r="AL26" i="1"/>
  <c r="AM24" i="1"/>
  <c r="AM25" i="1"/>
  <c r="AM26" i="1"/>
  <c r="AN24" i="1"/>
  <c r="AN25" i="1"/>
  <c r="AN26" i="1"/>
  <c r="AO24" i="1"/>
  <c r="AO25" i="1"/>
  <c r="AO26" i="1"/>
  <c r="F24" i="1"/>
  <c r="F25" i="1"/>
  <c r="F26" i="1"/>
  <c r="AS21" i="1"/>
  <c r="AS6" i="1"/>
  <c r="AS7" i="1"/>
  <c r="AS8" i="1"/>
  <c r="AS9" i="1"/>
  <c r="AS10" i="1"/>
  <c r="AS11" i="1"/>
  <c r="AS12" i="1"/>
  <c r="AS13" i="1"/>
  <c r="AS14" i="1"/>
  <c r="AS16" i="1"/>
  <c r="AS17" i="1"/>
  <c r="AS18" i="1"/>
  <c r="AS19" i="1"/>
  <c r="AS20" i="1"/>
  <c r="AS22" i="1"/>
  <c r="AS23" i="1"/>
  <c r="AT19" i="1"/>
  <c r="AU19" i="1"/>
  <c r="AV19" i="1"/>
  <c r="AT20" i="1"/>
  <c r="AU20" i="1"/>
  <c r="AV20" i="1"/>
  <c r="AT21" i="1"/>
  <c r="AU21" i="1"/>
  <c r="AV21" i="1"/>
  <c r="AT6" i="1"/>
  <c r="AU6" i="1"/>
  <c r="AV6" i="1"/>
  <c r="AT7" i="1"/>
  <c r="AU7" i="1"/>
  <c r="AV7" i="1"/>
  <c r="AT8" i="1"/>
  <c r="AU8" i="1"/>
  <c r="AV8" i="1"/>
  <c r="AT9" i="1"/>
  <c r="AU9" i="1"/>
  <c r="AV9" i="1"/>
  <c r="AT10" i="1"/>
  <c r="AU10" i="1"/>
  <c r="AV10" i="1"/>
  <c r="AT11" i="1"/>
  <c r="AU11" i="1"/>
  <c r="AV11" i="1"/>
  <c r="AT12" i="1"/>
  <c r="AU12" i="1"/>
  <c r="AV12" i="1"/>
  <c r="AT13" i="1"/>
  <c r="AU13" i="1"/>
  <c r="AV13" i="1"/>
  <c r="AT14" i="1"/>
  <c r="AU14" i="1"/>
  <c r="AV14" i="1"/>
  <c r="AT15" i="1"/>
  <c r="AU15" i="1"/>
  <c r="AV15" i="1"/>
  <c r="AT16" i="1"/>
  <c r="AU16" i="1"/>
  <c r="AV16" i="1"/>
  <c r="AT17" i="1"/>
  <c r="AU17" i="1"/>
  <c r="AV17" i="1"/>
  <c r="AT18" i="1"/>
  <c r="AU18" i="1"/>
  <c r="AV18" i="1"/>
  <c r="AT22" i="1"/>
  <c r="AU22" i="1"/>
  <c r="AV22" i="1"/>
  <c r="AT23" i="1"/>
  <c r="AU23" i="1"/>
  <c r="AV23" i="1"/>
  <c r="AT4" i="1"/>
  <c r="AU4" i="1"/>
  <c r="AT24" i="1"/>
  <c r="AV4" i="1"/>
</calcChain>
</file>

<file path=xl/sharedStrings.xml><?xml version="1.0" encoding="utf-8"?>
<sst xmlns="http://schemas.openxmlformats.org/spreadsheetml/2006/main" count="138" uniqueCount="81">
  <si>
    <t>白滝</t>
    <rPh sb="0" eb="2">
      <t>シラタキ</t>
    </rPh>
    <phoneticPr fontId="1"/>
  </si>
  <si>
    <t>牛すじ串</t>
    <rPh sb="0" eb="1">
      <t>ウシ</t>
    </rPh>
    <rPh sb="3" eb="4">
      <t>クシ</t>
    </rPh>
    <phoneticPr fontId="1"/>
  </si>
  <si>
    <t>絹ごし厚揚げ</t>
    <rPh sb="0" eb="1">
      <t>キヌ</t>
    </rPh>
    <rPh sb="3" eb="5">
      <t>アツア</t>
    </rPh>
    <phoneticPr fontId="1"/>
  </si>
  <si>
    <t>焼きちくわ</t>
    <rPh sb="0" eb="1">
      <t>ヤ</t>
    </rPh>
    <phoneticPr fontId="1"/>
  </si>
  <si>
    <t>だし巻き玉子</t>
    <rPh sb="2" eb="3">
      <t>マ</t>
    </rPh>
    <rPh sb="4" eb="6">
      <t>タマゴ</t>
    </rPh>
    <phoneticPr fontId="1"/>
  </si>
  <si>
    <t>個数</t>
    <rPh sb="0" eb="2">
      <t>コスウ</t>
    </rPh>
    <phoneticPr fontId="1"/>
  </si>
  <si>
    <t>値段</t>
    <rPh sb="0" eb="2">
      <t>ネダン</t>
    </rPh>
    <phoneticPr fontId="1"/>
  </si>
  <si>
    <t>小田</t>
    <rPh sb="0" eb="2">
      <t>オダ</t>
    </rPh>
    <phoneticPr fontId="1"/>
  </si>
  <si>
    <t>伊藤</t>
    <rPh sb="0" eb="2">
      <t>イトウ</t>
    </rPh>
    <phoneticPr fontId="1"/>
  </si>
  <si>
    <t>野中先生</t>
    <rPh sb="0" eb="2">
      <t>ノナカ</t>
    </rPh>
    <rPh sb="2" eb="4">
      <t>センセイ</t>
    </rPh>
    <phoneticPr fontId="1"/>
  </si>
  <si>
    <t>秋山</t>
    <rPh sb="0" eb="2">
      <t>アキヤマ</t>
    </rPh>
    <phoneticPr fontId="1"/>
  </si>
  <si>
    <t>伊藤雅</t>
    <rPh sb="0" eb="2">
      <t>イトウ</t>
    </rPh>
    <rPh sb="2" eb="3">
      <t>マサ</t>
    </rPh>
    <phoneticPr fontId="1"/>
  </si>
  <si>
    <t>篠原</t>
    <rPh sb="0" eb="2">
      <t>シノハラ</t>
    </rPh>
    <phoneticPr fontId="1"/>
  </si>
  <si>
    <t>浦山</t>
    <rPh sb="0" eb="2">
      <t>ウラヤマ</t>
    </rPh>
    <phoneticPr fontId="1"/>
  </si>
  <si>
    <t>高橋</t>
    <rPh sb="0" eb="2">
      <t>タカハシ</t>
    </rPh>
    <phoneticPr fontId="1"/>
  </si>
  <si>
    <t>栄田</t>
    <rPh sb="0" eb="1">
      <t>サカ</t>
    </rPh>
    <rPh sb="1" eb="2">
      <t>タ</t>
    </rPh>
    <phoneticPr fontId="1"/>
  </si>
  <si>
    <t>鈴木</t>
    <rPh sb="0" eb="2">
      <t>スズキ</t>
    </rPh>
    <phoneticPr fontId="1"/>
  </si>
  <si>
    <t>合計</t>
    <rPh sb="0" eb="2">
      <t>ゴウケイ</t>
    </rPh>
    <phoneticPr fontId="1"/>
  </si>
  <si>
    <t>パック数</t>
    <rPh sb="3" eb="4">
      <t>スウ</t>
    </rPh>
    <phoneticPr fontId="1"/>
  </si>
  <si>
    <t>購入パック数</t>
    <rPh sb="0" eb="2">
      <t>コウニュウ</t>
    </rPh>
    <rPh sb="5" eb="6">
      <t>スウ</t>
    </rPh>
    <phoneticPr fontId="1"/>
  </si>
  <si>
    <t>金額</t>
    <rPh sb="0" eb="2">
      <t>キンガク</t>
    </rPh>
    <phoneticPr fontId="1"/>
  </si>
  <si>
    <t>飲み物代</t>
    <rPh sb="0" eb="1">
      <t>ノ</t>
    </rPh>
    <rPh sb="2" eb="3">
      <t>モノ</t>
    </rPh>
    <rPh sb="3" eb="4">
      <t>ダイ</t>
    </rPh>
    <phoneticPr fontId="1"/>
  </si>
  <si>
    <t>おでん代</t>
    <rPh sb="3" eb="4">
      <t>ダイ</t>
    </rPh>
    <phoneticPr fontId="1"/>
  </si>
  <si>
    <t>合計金額</t>
    <rPh sb="0" eb="2">
      <t>ゴウケイ</t>
    </rPh>
    <rPh sb="2" eb="4">
      <t>キンガク</t>
    </rPh>
    <phoneticPr fontId="1"/>
  </si>
  <si>
    <t>関口先生</t>
    <rPh sb="0" eb="2">
      <t>セキグチ</t>
    </rPh>
    <rPh sb="2" eb="4">
      <t>センセイ</t>
    </rPh>
    <phoneticPr fontId="1"/>
  </si>
  <si>
    <t>戸松</t>
    <rPh sb="0" eb="2">
      <t>トマツ</t>
    </rPh>
    <phoneticPr fontId="1"/>
  </si>
  <si>
    <t>山下</t>
    <rPh sb="0" eb="2">
      <t>ヤマシタ</t>
    </rPh>
    <phoneticPr fontId="1"/>
  </si>
  <si>
    <t>西尾</t>
    <rPh sb="0" eb="2">
      <t>ニシオ</t>
    </rPh>
    <phoneticPr fontId="1"/>
  </si>
  <si>
    <t>押切</t>
    <rPh sb="0" eb="2">
      <t>オシキリ</t>
    </rPh>
    <phoneticPr fontId="1"/>
  </si>
  <si>
    <t>阿部</t>
    <rPh sb="0" eb="2">
      <t>アベ</t>
    </rPh>
    <phoneticPr fontId="1"/>
  </si>
  <si>
    <t>相馬</t>
    <rPh sb="0" eb="2">
      <t>ソウマ</t>
    </rPh>
    <phoneticPr fontId="1"/>
  </si>
  <si>
    <t>小泉</t>
    <rPh sb="0" eb="2">
      <t>コイズミ</t>
    </rPh>
    <phoneticPr fontId="1"/>
  </si>
  <si>
    <t>須山</t>
    <rPh sb="0" eb="2">
      <t>スヤマ</t>
    </rPh>
    <phoneticPr fontId="1"/>
  </si>
  <si>
    <t>吉川</t>
    <rPh sb="0" eb="2">
      <t>ヨシカワ</t>
    </rPh>
    <phoneticPr fontId="1"/>
  </si>
  <si>
    <t>山本</t>
    <rPh sb="0" eb="2">
      <t>ヤマモト</t>
    </rPh>
    <phoneticPr fontId="1"/>
  </si>
  <si>
    <t>斉藤</t>
    <rPh sb="0" eb="2">
      <t>サイトウ</t>
    </rPh>
    <phoneticPr fontId="1"/>
  </si>
  <si>
    <t>三瓶</t>
    <rPh sb="0" eb="2">
      <t>サンペイ</t>
    </rPh>
    <phoneticPr fontId="1"/>
  </si>
  <si>
    <t>小川</t>
    <rPh sb="0" eb="2">
      <t>オガワ</t>
    </rPh>
    <phoneticPr fontId="1"/>
  </si>
  <si>
    <t>遠藤</t>
    <rPh sb="0" eb="2">
      <t>エンドウ</t>
    </rPh>
    <phoneticPr fontId="1"/>
  </si>
  <si>
    <t>下平</t>
    <rPh sb="0" eb="2">
      <t>シモタイ</t>
    </rPh>
    <phoneticPr fontId="1"/>
  </si>
  <si>
    <t>味しみ大根</t>
    <rPh sb="0" eb="1">
      <t>アジ</t>
    </rPh>
    <rPh sb="3" eb="5">
      <t>ダイコン</t>
    </rPh>
    <phoneticPr fontId="1"/>
  </si>
  <si>
    <t>こんにゃく</t>
    <phoneticPr fontId="1"/>
  </si>
  <si>
    <t>昆布巻</t>
    <rPh sb="0" eb="2">
      <t>コンブ</t>
    </rPh>
    <rPh sb="2" eb="3">
      <t>マキ</t>
    </rPh>
    <phoneticPr fontId="1"/>
  </si>
  <si>
    <t>こだわりたまご</t>
    <phoneticPr fontId="1"/>
  </si>
  <si>
    <t>もっちりちくわぶ</t>
    <phoneticPr fontId="1"/>
  </si>
  <si>
    <t>いか野菜さつま揚げ</t>
    <rPh sb="2" eb="4">
      <t>ヤサイ</t>
    </rPh>
    <rPh sb="7" eb="8">
      <t>ア</t>
    </rPh>
    <phoneticPr fontId="1"/>
  </si>
  <si>
    <t>ごぼう巻</t>
    <rPh sb="3" eb="4">
      <t>マキ</t>
    </rPh>
    <phoneticPr fontId="1"/>
  </si>
  <si>
    <t>ウインナー巻</t>
    <rPh sb="5" eb="6">
      <t>マキ</t>
    </rPh>
    <phoneticPr fontId="1"/>
  </si>
  <si>
    <t>つみれ</t>
    <phoneticPr fontId="1"/>
  </si>
  <si>
    <t>かまくらはんぺん</t>
    <phoneticPr fontId="1"/>
  </si>
  <si>
    <t>ジューシーソーセージ</t>
    <phoneticPr fontId="1"/>
  </si>
  <si>
    <t>がんも</t>
    <phoneticPr fontId="1"/>
  </si>
  <si>
    <t>炭火焼つくね串</t>
    <rPh sb="0" eb="3">
      <t>スミビヤキ</t>
    </rPh>
    <rPh sb="6" eb="7">
      <t>グシ</t>
    </rPh>
    <phoneticPr fontId="1"/>
  </si>
  <si>
    <t>ロールキャベツ</t>
    <phoneticPr fontId="1"/>
  </si>
  <si>
    <t>餅入り巾着</t>
    <rPh sb="0" eb="1">
      <t>モチ</t>
    </rPh>
    <rPh sb="1" eb="2">
      <t>イ</t>
    </rPh>
    <rPh sb="3" eb="5">
      <t>キンチャク</t>
    </rPh>
    <phoneticPr fontId="1"/>
  </si>
  <si>
    <t>個人支払金額</t>
    <rPh sb="0" eb="2">
      <t>コジン</t>
    </rPh>
    <rPh sb="2" eb="4">
      <t>シハライ</t>
    </rPh>
    <rPh sb="4" eb="6">
      <t>キンガク</t>
    </rPh>
    <phoneticPr fontId="1"/>
  </si>
  <si>
    <t>元値</t>
    <rPh sb="0" eb="1">
      <t>モト</t>
    </rPh>
    <phoneticPr fontId="1"/>
  </si>
  <si>
    <t>徴収合計</t>
    <rPh sb="0" eb="2">
      <t>チョウシュウ</t>
    </rPh>
    <rPh sb="2" eb="4">
      <t>ゴウケイ</t>
    </rPh>
    <phoneticPr fontId="1"/>
  </si>
  <si>
    <t>鈴木先生</t>
    <rPh sb="0" eb="2">
      <t>スズキ</t>
    </rPh>
    <rPh sb="2" eb="4">
      <t>センセイ</t>
    </rPh>
    <phoneticPr fontId="1"/>
  </si>
  <si>
    <t>浦山</t>
    <rPh sb="0" eb="2">
      <t>ウラヤマ</t>
    </rPh>
    <phoneticPr fontId="1"/>
  </si>
  <si>
    <t>戸松</t>
    <rPh sb="0" eb="2">
      <t>トマツ</t>
    </rPh>
    <phoneticPr fontId="1"/>
  </si>
  <si>
    <t>栄田</t>
    <rPh sb="0" eb="2">
      <t>サカエタ</t>
    </rPh>
    <phoneticPr fontId="1"/>
  </si>
  <si>
    <t>伊藤大</t>
    <rPh sb="0" eb="2">
      <t>イトウ</t>
    </rPh>
    <rPh sb="2" eb="3">
      <t>ダイ</t>
    </rPh>
    <phoneticPr fontId="1"/>
  </si>
  <si>
    <t>津野</t>
    <rPh sb="0" eb="2">
      <t>ツノ</t>
    </rPh>
    <phoneticPr fontId="1"/>
  </si>
  <si>
    <t>伊藤弘</t>
    <rPh sb="0" eb="2">
      <t>イトウ</t>
    </rPh>
    <rPh sb="2" eb="3">
      <t>ヒロ</t>
    </rPh>
    <phoneticPr fontId="1"/>
  </si>
  <si>
    <t>荒牧</t>
    <rPh sb="0" eb="2">
      <t>アラマキ</t>
    </rPh>
    <phoneticPr fontId="1"/>
  </si>
  <si>
    <t>冨澤</t>
    <rPh sb="0" eb="2">
      <t>トミザワ</t>
    </rPh>
    <phoneticPr fontId="1"/>
  </si>
  <si>
    <t>成瀬</t>
    <rPh sb="0" eb="2">
      <t>ナルセ</t>
    </rPh>
    <phoneticPr fontId="1"/>
  </si>
  <si>
    <t>日浦</t>
    <rPh sb="0" eb="2">
      <t>ヒウラ</t>
    </rPh>
    <phoneticPr fontId="1"/>
  </si>
  <si>
    <t>岡野</t>
    <rPh sb="0" eb="2">
      <t>オカノ</t>
    </rPh>
    <phoneticPr fontId="1"/>
  </si>
  <si>
    <t>松島</t>
    <rPh sb="0" eb="2">
      <t>マツシマ</t>
    </rPh>
    <phoneticPr fontId="1"/>
  </si>
  <si>
    <t>吉村</t>
    <rPh sb="0" eb="2">
      <t>ヨシムラ</t>
    </rPh>
    <phoneticPr fontId="1"/>
  </si>
  <si>
    <t>柴田</t>
    <rPh sb="0" eb="2">
      <t>シバタ</t>
    </rPh>
    <phoneticPr fontId="1"/>
  </si>
  <si>
    <t>森廣</t>
    <rPh sb="0" eb="1">
      <t>モリ</t>
    </rPh>
    <rPh sb="1" eb="2">
      <t>ヒロシ</t>
    </rPh>
    <phoneticPr fontId="1"/>
  </si>
  <si>
    <t>小榑</t>
    <phoneticPr fontId="1"/>
  </si>
  <si>
    <t>横山</t>
    <rPh sb="0" eb="2">
      <t>ヨコヤマ</t>
    </rPh>
    <phoneticPr fontId="1"/>
  </si>
  <si>
    <t>山田</t>
    <rPh sb="0" eb="2">
      <t>ヤマダ</t>
    </rPh>
    <phoneticPr fontId="1"/>
  </si>
  <si>
    <t>7つの野菜さつま揚げ</t>
    <rPh sb="3" eb="5">
      <t>ヤサイ</t>
    </rPh>
    <rPh sb="8" eb="9">
      <t>ア</t>
    </rPh>
    <phoneticPr fontId="1"/>
  </si>
  <si>
    <t>出欠(出席[1]欠席[0])</t>
    <rPh sb="0" eb="2">
      <t>シュッケツ</t>
    </rPh>
    <rPh sb="3" eb="5">
      <t>シュッセキ</t>
    </rPh>
    <rPh sb="8" eb="10">
      <t>ケッセキ</t>
    </rPh>
    <phoneticPr fontId="1"/>
  </si>
  <si>
    <t>記入例</t>
    <rPh sb="0" eb="2">
      <t>キニュウ</t>
    </rPh>
    <rPh sb="2" eb="3">
      <t>レイ</t>
    </rPh>
    <phoneticPr fontId="1"/>
  </si>
  <si>
    <t>数合わせ</t>
    <rPh sb="0" eb="1">
      <t>カズ</t>
    </rPh>
    <rPh sb="1" eb="2">
      <t>ア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</si>
</sst>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</borders>
  <cellStyleXfs count="6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8" borderId="18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8" xfId="0" applyFill="1" applyBorder="1">
      <alignment vertical="center"/>
    </xf>
    <xf numFmtId="0" fontId="0" fillId="0" borderId="9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3" fillId="2" borderId="7" xfId="1" applyBorder="1" applyAlignment="1">
      <alignment horizontal="center" vertical="center"/>
    </xf>
    <xf numFmtId="0" fontId="3" fillId="2" borderId="1" xfId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4" borderId="5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6" borderId="1" xfId="2" applyBorder="1" applyAlignment="1">
      <alignment horizontal="center" vertical="center"/>
    </xf>
    <xf numFmtId="0" fontId="0" fillId="0" borderId="16" xfId="0" applyFill="1" applyBorder="1">
      <alignment vertical="center"/>
    </xf>
    <xf numFmtId="0" fontId="6" fillId="7" borderId="1" xfId="3" applyBorder="1">
      <alignment vertical="center"/>
    </xf>
    <xf numFmtId="0" fontId="6" fillId="7" borderId="1" xfId="3" applyBorder="1" applyAlignment="1">
      <alignment horizontal="center" vertical="center"/>
    </xf>
    <xf numFmtId="0" fontId="6" fillId="7" borderId="17" xfId="3" applyBorder="1" applyAlignment="1">
      <alignment horizontal="center" vertical="center"/>
    </xf>
    <xf numFmtId="0" fontId="6" fillId="7" borderId="17" xfId="3" applyBorder="1" applyAlignment="1">
      <alignment horizontal="center" vertical="center" wrapText="1"/>
    </xf>
    <xf numFmtId="0" fontId="0" fillId="8" borderId="18" xfId="4" applyFont="1" applyAlignment="1">
      <alignment horizontal="center" vertical="center"/>
    </xf>
    <xf numFmtId="0" fontId="6" fillId="8" borderId="18" xfId="4" applyFont="1" applyAlignment="1">
      <alignment horizontal="center" vertical="center"/>
    </xf>
    <xf numFmtId="0" fontId="0" fillId="8" borderId="18" xfId="4" applyFont="1">
      <alignment vertical="center"/>
    </xf>
    <xf numFmtId="0" fontId="3" fillId="2" borderId="18" xfId="1" applyBorder="1">
      <alignment vertical="center"/>
    </xf>
    <xf numFmtId="0" fontId="6" fillId="7" borderId="4" xfId="3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5" xfId="0" applyFill="1" applyBorder="1">
      <alignment vertical="center"/>
    </xf>
    <xf numFmtId="0" fontId="0" fillId="0" borderId="0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3" fillId="2" borderId="5" xfId="1" applyBorder="1" applyAlignment="1">
      <alignment horizontal="center" vertical="center"/>
    </xf>
    <xf numFmtId="0" fontId="3" fillId="2" borderId="6" xfId="1" applyBorder="1" applyAlignment="1">
      <alignment horizontal="center" vertical="center"/>
    </xf>
    <xf numFmtId="0" fontId="3" fillId="2" borderId="7" xfId="1" applyBorder="1" applyAlignment="1">
      <alignment horizontal="center" vertical="center"/>
    </xf>
    <xf numFmtId="0" fontId="5" fillId="9" borderId="1" xfId="5" applyBorder="1">
      <alignment vertical="center"/>
    </xf>
    <xf numFmtId="0" fontId="5" fillId="9" borderId="19" xfId="5" applyBorder="1">
      <alignment vertical="center"/>
    </xf>
    <xf numFmtId="0" fontId="5" fillId="9" borderId="1" xfId="5" applyBorder="1" applyAlignment="1">
      <alignment horizontal="center" vertical="center"/>
    </xf>
    <xf numFmtId="0" fontId="5" fillId="9" borderId="7" xfId="5" applyBorder="1" applyAlignment="1">
      <alignment horizontal="center" vertical="center"/>
    </xf>
    <xf numFmtId="0" fontId="5" fillId="9" borderId="18" xfId="5" applyBorder="1">
      <alignment vertical="center"/>
    </xf>
  </cellXfs>
  <cellStyles count="6">
    <cellStyle name="20% - アクセント 1" xfId="2" builtinId="30"/>
    <cellStyle name="20% - アクセント 2" xfId="5" builtinId="34"/>
    <cellStyle name="メモ" xfId="4" builtinId="10"/>
    <cellStyle name="悪い" xfId="1" builtinId="27"/>
    <cellStyle name="標準" xfId="0" builtinId="0"/>
    <cellStyle name="良い" xfId="3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X26"/>
  <sheetViews>
    <sheetView tabSelected="1" zoomScale="85" zoomScaleNormal="85" workbookViewId="0">
      <pane xSplit="5" ySplit="36" topLeftCell="F37" activePane="bottomRight" state="frozen"/>
      <selection pane="topRight" activeCell="I1" sqref="I1"/>
      <selection pane="bottomLeft" activeCell="A36" sqref="A36"/>
      <selection pane="bottomRight" activeCell="AF47" sqref="AF47"/>
    </sheetView>
  </sheetViews>
  <sheetFormatPr defaultRowHeight="13.5" x14ac:dyDescent="0.15"/>
  <cols>
    <col min="1" max="1" width="19.375" customWidth="1"/>
    <col min="2" max="4" width="6.125" customWidth="1"/>
    <col min="5" max="5" width="0.625" customWidth="1"/>
    <col min="6" max="6" width="10.375" customWidth="1"/>
    <col min="7" max="7" width="9.5" bestFit="1" customWidth="1"/>
    <col min="8" max="9" width="9.5" customWidth="1"/>
    <col min="10" max="10" width="5.5" customWidth="1"/>
    <col min="11" max="11" width="5.5" bestFit="1" customWidth="1"/>
    <col min="12" max="12" width="5.5" customWidth="1"/>
    <col min="13" max="17" width="5.5" bestFit="1" customWidth="1"/>
    <col min="18" max="18" width="5.5" customWidth="1"/>
    <col min="19" max="22" width="5.5" bestFit="1" customWidth="1"/>
    <col min="23" max="23" width="5.5" customWidth="1"/>
    <col min="24" max="24" width="5.5" bestFit="1" customWidth="1"/>
    <col min="25" max="43" width="5.5" customWidth="1"/>
    <col min="44" max="44" width="1.125" customWidth="1"/>
    <col min="45" max="45" width="4.625" customWidth="1"/>
    <col min="46" max="46" width="8.875" customWidth="1"/>
    <col min="47" max="47" width="11.375" customWidth="1"/>
    <col min="48" max="62" width="8.875" customWidth="1"/>
  </cols>
  <sheetData>
    <row r="1" spans="1:50" ht="14.25" thickBot="1" x14ac:dyDescent="0.2">
      <c r="AQ1">
        <f>SUM(AQ3:AQ23)</f>
        <v>24</v>
      </c>
    </row>
    <row r="2" spans="1:50" x14ac:dyDescent="0.15">
      <c r="A2" s="1"/>
      <c r="B2" s="2" t="s">
        <v>5</v>
      </c>
      <c r="C2" s="2" t="s">
        <v>56</v>
      </c>
      <c r="D2" s="2" t="s">
        <v>6</v>
      </c>
      <c r="E2" s="11"/>
      <c r="F2" s="44" t="s">
        <v>79</v>
      </c>
      <c r="G2" s="2" t="s">
        <v>9</v>
      </c>
      <c r="H2" s="2" t="s">
        <v>24</v>
      </c>
      <c r="I2" s="2" t="s">
        <v>58</v>
      </c>
      <c r="J2" s="2" t="s">
        <v>7</v>
      </c>
      <c r="K2" s="1" t="s">
        <v>10</v>
      </c>
      <c r="L2" s="1" t="s">
        <v>11</v>
      </c>
      <c r="M2" s="1" t="s">
        <v>13</v>
      </c>
      <c r="N2" s="1" t="s">
        <v>61</v>
      </c>
      <c r="O2" s="1" t="s">
        <v>12</v>
      </c>
      <c r="P2" s="1" t="s">
        <v>16</v>
      </c>
      <c r="Q2" s="1" t="s">
        <v>14</v>
      </c>
      <c r="R2" s="1" t="s">
        <v>25</v>
      </c>
      <c r="S2" s="6" t="s">
        <v>32</v>
      </c>
      <c r="T2" s="2" t="s">
        <v>34</v>
      </c>
      <c r="U2" s="2" t="s">
        <v>30</v>
      </c>
      <c r="V2" s="2" t="s">
        <v>38</v>
      </c>
      <c r="W2" s="6" t="s">
        <v>31</v>
      </c>
      <c r="X2" s="2" t="s">
        <v>27</v>
      </c>
      <c r="Y2" s="6" t="s">
        <v>35</v>
      </c>
      <c r="Z2" s="6" t="s">
        <v>37</v>
      </c>
      <c r="AA2" s="6" t="s">
        <v>33</v>
      </c>
      <c r="AB2" s="6" t="s">
        <v>62</v>
      </c>
      <c r="AC2" s="1" t="s">
        <v>63</v>
      </c>
      <c r="AD2" s="1" t="s">
        <v>64</v>
      </c>
      <c r="AE2" s="1" t="s">
        <v>65</v>
      </c>
      <c r="AF2" s="1" t="s">
        <v>66</v>
      </c>
      <c r="AG2" s="1" t="s">
        <v>67</v>
      </c>
      <c r="AH2" s="1" t="s">
        <v>68</v>
      </c>
      <c r="AI2" s="1" t="s">
        <v>69</v>
      </c>
      <c r="AJ2" s="1" t="s">
        <v>70</v>
      </c>
      <c r="AK2" s="1" t="s">
        <v>71</v>
      </c>
      <c r="AL2" s="1" t="s">
        <v>72</v>
      </c>
      <c r="AM2" s="1" t="s">
        <v>73</v>
      </c>
      <c r="AN2" s="1" t="s">
        <v>75</v>
      </c>
      <c r="AO2" s="1" t="s">
        <v>76</v>
      </c>
      <c r="AP2" s="1" t="s">
        <v>74</v>
      </c>
      <c r="AQ2" s="1" t="s">
        <v>80</v>
      </c>
      <c r="AR2" s="6"/>
      <c r="AS2" s="2" t="s">
        <v>17</v>
      </c>
      <c r="AT2" s="1" t="s">
        <v>18</v>
      </c>
      <c r="AU2" s="1" t="s">
        <v>19</v>
      </c>
      <c r="AV2" s="1" t="s">
        <v>20</v>
      </c>
      <c r="AX2" s="7" t="s">
        <v>21</v>
      </c>
    </row>
    <row r="3" spans="1:50" x14ac:dyDescent="0.15">
      <c r="A3" s="40" t="s">
        <v>78</v>
      </c>
      <c r="B3" s="41"/>
      <c r="C3" s="41"/>
      <c r="D3" s="41"/>
      <c r="E3" s="41"/>
      <c r="F3" s="45">
        <v>1</v>
      </c>
      <c r="G3" s="48">
        <v>1</v>
      </c>
      <c r="H3" s="41">
        <v>0</v>
      </c>
      <c r="I3" s="41">
        <v>0</v>
      </c>
      <c r="J3" s="41">
        <v>1</v>
      </c>
      <c r="K3" s="41">
        <v>1</v>
      </c>
      <c r="L3" s="41">
        <v>1</v>
      </c>
      <c r="M3" s="41">
        <v>0</v>
      </c>
      <c r="N3" s="41">
        <v>0</v>
      </c>
      <c r="O3" s="41"/>
      <c r="P3" s="41">
        <v>1</v>
      </c>
      <c r="Q3" s="41">
        <v>1</v>
      </c>
      <c r="R3" s="41">
        <v>0</v>
      </c>
      <c r="S3" s="41">
        <v>1</v>
      </c>
      <c r="T3" s="41">
        <v>0</v>
      </c>
      <c r="U3" s="41">
        <v>1</v>
      </c>
      <c r="V3" s="41">
        <v>0</v>
      </c>
      <c r="W3" s="41">
        <v>1</v>
      </c>
      <c r="X3" s="41">
        <v>1</v>
      </c>
      <c r="Y3" s="41">
        <v>0</v>
      </c>
      <c r="Z3" s="41">
        <v>1</v>
      </c>
      <c r="AA3" s="41">
        <v>1</v>
      </c>
      <c r="AB3" s="41">
        <v>1</v>
      </c>
      <c r="AC3" s="42">
        <v>1</v>
      </c>
      <c r="AD3" s="42">
        <v>1</v>
      </c>
      <c r="AE3" s="42">
        <v>0</v>
      </c>
      <c r="AF3" s="42">
        <v>0</v>
      </c>
      <c r="AG3" s="42">
        <v>0</v>
      </c>
      <c r="AH3" s="42">
        <v>1</v>
      </c>
      <c r="AI3" s="42">
        <v>0</v>
      </c>
      <c r="AJ3" s="42">
        <v>0</v>
      </c>
      <c r="AK3" s="42">
        <v>0</v>
      </c>
      <c r="AL3" s="42">
        <v>0</v>
      </c>
      <c r="AM3" s="42">
        <v>0</v>
      </c>
      <c r="AN3" s="42">
        <v>1</v>
      </c>
      <c r="AO3" s="42">
        <v>1</v>
      </c>
      <c r="AP3" s="43">
        <v>1</v>
      </c>
      <c r="AQ3" s="43">
        <v>0</v>
      </c>
      <c r="AR3" s="6"/>
      <c r="AS3" s="1">
        <f t="shared" ref="AS3:AS23" si="0">SUM(G3:AQ3)</f>
        <v>19</v>
      </c>
      <c r="AT3" s="1"/>
      <c r="AU3" s="1"/>
      <c r="AV3" s="1"/>
      <c r="AX3" s="39"/>
    </row>
    <row r="4" spans="1:50" ht="14.25" thickBot="1" x14ac:dyDescent="0.2">
      <c r="A4" s="61" t="s">
        <v>40</v>
      </c>
      <c r="B4" s="61">
        <v>3</v>
      </c>
      <c r="C4" s="61">
        <v>75</v>
      </c>
      <c r="D4" s="61">
        <v>70</v>
      </c>
      <c r="E4" s="61"/>
      <c r="F4" s="62">
        <v>1</v>
      </c>
      <c r="G4" s="63">
        <v>1</v>
      </c>
      <c r="H4" s="64"/>
      <c r="I4" s="63"/>
      <c r="J4" s="63">
        <v>1</v>
      </c>
      <c r="K4" s="63"/>
      <c r="L4" s="63">
        <v>1</v>
      </c>
      <c r="M4" s="63"/>
      <c r="N4" s="63"/>
      <c r="O4" s="63"/>
      <c r="P4" s="63">
        <v>1</v>
      </c>
      <c r="Q4" s="63">
        <v>1</v>
      </c>
      <c r="R4" s="63"/>
      <c r="S4" s="63">
        <v>1</v>
      </c>
      <c r="T4" s="63"/>
      <c r="U4" s="63">
        <v>1</v>
      </c>
      <c r="V4" s="63"/>
      <c r="W4" s="63">
        <v>1</v>
      </c>
      <c r="X4" s="63">
        <v>1</v>
      </c>
      <c r="Y4" s="63"/>
      <c r="Z4" s="63">
        <v>1</v>
      </c>
      <c r="AA4" s="63">
        <v>1</v>
      </c>
      <c r="AB4" s="63"/>
      <c r="AC4" s="63">
        <v>2</v>
      </c>
      <c r="AD4" s="63">
        <v>1</v>
      </c>
      <c r="AE4" s="63"/>
      <c r="AF4" s="63"/>
      <c r="AG4" s="63"/>
      <c r="AH4" s="63">
        <v>2</v>
      </c>
      <c r="AI4" s="63"/>
      <c r="AJ4" s="63"/>
      <c r="AK4" s="63"/>
      <c r="AL4" s="63"/>
      <c r="AM4" s="63"/>
      <c r="AN4" s="63">
        <v>1</v>
      </c>
      <c r="AO4" s="63"/>
      <c r="AP4" s="63">
        <v>3</v>
      </c>
      <c r="AQ4" s="63">
        <v>1</v>
      </c>
      <c r="AR4" s="2"/>
      <c r="AS4" s="1">
        <f>SUM(G4:AQ4)</f>
        <v>21</v>
      </c>
      <c r="AT4" s="1">
        <f t="shared" ref="AT4:AT23" si="1">AS4/B4</f>
        <v>7</v>
      </c>
      <c r="AU4" s="1">
        <f>ROUNDUP(AT4,0)</f>
        <v>7</v>
      </c>
      <c r="AV4" s="1">
        <f t="shared" ref="AV4:AV23" si="2">AU4*B4*D4</f>
        <v>1470</v>
      </c>
      <c r="AX4" s="8">
        <v>300</v>
      </c>
    </row>
    <row r="5" spans="1:50" x14ac:dyDescent="0.15">
      <c r="A5" s="1" t="s">
        <v>0</v>
      </c>
      <c r="B5" s="1">
        <v>5</v>
      </c>
      <c r="C5" s="15">
        <v>80</v>
      </c>
      <c r="D5" s="1">
        <v>70</v>
      </c>
      <c r="E5" s="12"/>
      <c r="F5" s="46"/>
      <c r="G5" s="4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>
        <v>1</v>
      </c>
      <c r="X5" s="19"/>
      <c r="Y5" s="19"/>
      <c r="Z5" s="19">
        <v>1</v>
      </c>
      <c r="AA5" s="19">
        <v>1</v>
      </c>
      <c r="AB5" s="19"/>
      <c r="AC5" s="19"/>
      <c r="AD5" s="19">
        <v>1</v>
      </c>
      <c r="AE5" s="19"/>
      <c r="AF5" s="19"/>
      <c r="AG5" s="19"/>
      <c r="AH5" s="19">
        <v>1</v>
      </c>
      <c r="AI5" s="19"/>
      <c r="AJ5" s="19"/>
      <c r="AK5" s="19"/>
      <c r="AL5" s="19"/>
      <c r="AM5" s="19"/>
      <c r="AN5" s="19"/>
      <c r="AO5" s="19"/>
      <c r="AP5" s="19"/>
      <c r="AQ5" s="19"/>
      <c r="AR5" s="2"/>
      <c r="AS5" s="1">
        <f t="shared" si="0"/>
        <v>5</v>
      </c>
      <c r="AT5" s="1">
        <f t="shared" si="1"/>
        <v>1</v>
      </c>
      <c r="AU5" s="1">
        <f t="shared" ref="AU5:AU23" si="3">ROUNDUP(AT5,0)</f>
        <v>1</v>
      </c>
      <c r="AV5" s="1">
        <f t="shared" si="2"/>
        <v>350</v>
      </c>
    </row>
    <row r="6" spans="1:50" x14ac:dyDescent="0.15">
      <c r="A6" s="61" t="s">
        <v>41</v>
      </c>
      <c r="B6" s="61">
        <v>4</v>
      </c>
      <c r="C6" s="61">
        <v>80</v>
      </c>
      <c r="D6" s="61">
        <v>70</v>
      </c>
      <c r="E6" s="61"/>
      <c r="F6" s="65">
        <v>1</v>
      </c>
      <c r="G6" s="63">
        <v>1</v>
      </c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>
        <v>1</v>
      </c>
      <c r="V6" s="63"/>
      <c r="W6" s="63"/>
      <c r="X6" s="63"/>
      <c r="Y6" s="63"/>
      <c r="Z6" s="63"/>
      <c r="AA6" s="63"/>
      <c r="AB6" s="63"/>
      <c r="AC6" s="63">
        <v>1</v>
      </c>
      <c r="AD6" s="63">
        <v>1</v>
      </c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>
        <v>2</v>
      </c>
      <c r="AP6" s="63"/>
      <c r="AQ6" s="63">
        <v>2</v>
      </c>
      <c r="AR6" s="2"/>
      <c r="AS6" s="1">
        <f t="shared" si="0"/>
        <v>8</v>
      </c>
      <c r="AT6" s="1">
        <f t="shared" si="1"/>
        <v>2</v>
      </c>
      <c r="AU6" s="1">
        <f t="shared" si="3"/>
        <v>2</v>
      </c>
      <c r="AV6" s="1">
        <f t="shared" si="2"/>
        <v>560</v>
      </c>
    </row>
    <row r="7" spans="1:50" x14ac:dyDescent="0.15">
      <c r="A7" s="1" t="s">
        <v>42</v>
      </c>
      <c r="B7" s="1">
        <v>5</v>
      </c>
      <c r="C7" s="15">
        <v>85</v>
      </c>
      <c r="D7" s="1">
        <v>70</v>
      </c>
      <c r="E7" s="12"/>
      <c r="F7" s="46"/>
      <c r="G7" s="19">
        <v>1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>
        <v>1</v>
      </c>
      <c r="AB7" s="19"/>
      <c r="AC7" s="19"/>
      <c r="AD7" s="19"/>
      <c r="AE7" s="19"/>
      <c r="AF7" s="19"/>
      <c r="AG7" s="19"/>
      <c r="AH7" s="19">
        <v>1</v>
      </c>
      <c r="AI7" s="19"/>
      <c r="AJ7" s="19"/>
      <c r="AK7" s="19"/>
      <c r="AL7" s="19"/>
      <c r="AM7" s="19"/>
      <c r="AN7" s="19"/>
      <c r="AO7" s="19"/>
      <c r="AP7" s="19"/>
      <c r="AQ7" s="19">
        <v>2</v>
      </c>
      <c r="AR7" s="2"/>
      <c r="AS7" s="1">
        <f t="shared" si="0"/>
        <v>5</v>
      </c>
      <c r="AT7" s="1">
        <f t="shared" si="1"/>
        <v>1</v>
      </c>
      <c r="AU7" s="1">
        <f t="shared" si="3"/>
        <v>1</v>
      </c>
      <c r="AV7" s="1">
        <f t="shared" si="2"/>
        <v>350</v>
      </c>
    </row>
    <row r="8" spans="1:50" x14ac:dyDescent="0.15">
      <c r="A8" s="61" t="s">
        <v>43</v>
      </c>
      <c r="B8" s="61">
        <v>3</v>
      </c>
      <c r="C8" s="61">
        <v>90</v>
      </c>
      <c r="D8" s="61">
        <v>70</v>
      </c>
      <c r="E8" s="61"/>
      <c r="F8" s="65">
        <v>2</v>
      </c>
      <c r="G8" s="63">
        <v>1</v>
      </c>
      <c r="H8" s="63"/>
      <c r="I8" s="63"/>
      <c r="J8" s="63">
        <v>2</v>
      </c>
      <c r="K8" s="63">
        <v>2</v>
      </c>
      <c r="L8" s="63"/>
      <c r="M8" s="63"/>
      <c r="N8" s="63"/>
      <c r="O8" s="63"/>
      <c r="P8" s="63"/>
      <c r="Q8" s="63">
        <v>2</v>
      </c>
      <c r="R8" s="63"/>
      <c r="S8" s="63">
        <v>1</v>
      </c>
      <c r="T8" s="63"/>
      <c r="U8" s="63">
        <v>1</v>
      </c>
      <c r="V8" s="63"/>
      <c r="W8" s="63">
        <v>1</v>
      </c>
      <c r="X8" s="63">
        <v>1</v>
      </c>
      <c r="Y8" s="63"/>
      <c r="Z8" s="63">
        <v>1</v>
      </c>
      <c r="AA8" s="63">
        <v>1</v>
      </c>
      <c r="AB8" s="63"/>
      <c r="AC8" s="63"/>
      <c r="AD8" s="63"/>
      <c r="AE8" s="63"/>
      <c r="AF8" s="63"/>
      <c r="AG8" s="63"/>
      <c r="AH8" s="63">
        <v>1</v>
      </c>
      <c r="AI8" s="63"/>
      <c r="AJ8" s="63"/>
      <c r="AK8" s="63"/>
      <c r="AL8" s="63"/>
      <c r="AM8" s="63"/>
      <c r="AN8" s="63"/>
      <c r="AO8" s="63"/>
      <c r="AP8" s="63"/>
      <c r="AQ8" s="63">
        <v>1</v>
      </c>
      <c r="AR8" s="2"/>
      <c r="AS8" s="1">
        <f t="shared" si="0"/>
        <v>15</v>
      </c>
      <c r="AT8" s="1">
        <f t="shared" si="1"/>
        <v>5</v>
      </c>
      <c r="AU8" s="1">
        <f t="shared" si="3"/>
        <v>5</v>
      </c>
      <c r="AV8" s="1">
        <f t="shared" si="2"/>
        <v>1050</v>
      </c>
    </row>
    <row r="9" spans="1:50" x14ac:dyDescent="0.15">
      <c r="A9" s="1" t="s">
        <v>44</v>
      </c>
      <c r="B9" s="1">
        <v>5</v>
      </c>
      <c r="C9" s="15">
        <v>95</v>
      </c>
      <c r="D9" s="1">
        <v>70</v>
      </c>
      <c r="E9" s="12"/>
      <c r="F9" s="46"/>
      <c r="G9" s="19"/>
      <c r="H9" s="19"/>
      <c r="I9" s="38"/>
      <c r="J9" s="19"/>
      <c r="K9" s="19">
        <v>1</v>
      </c>
      <c r="L9" s="19"/>
      <c r="M9" s="19"/>
      <c r="N9" s="19"/>
      <c r="O9" s="19"/>
      <c r="P9" s="19">
        <v>2</v>
      </c>
      <c r="Q9" s="19">
        <v>1</v>
      </c>
      <c r="R9" s="19"/>
      <c r="S9" s="19"/>
      <c r="T9" s="19"/>
      <c r="U9" s="19"/>
      <c r="V9" s="19"/>
      <c r="W9" s="19"/>
      <c r="X9" s="19"/>
      <c r="Y9" s="19"/>
      <c r="Z9" s="19">
        <v>1</v>
      </c>
      <c r="AA9" s="19"/>
      <c r="AB9" s="19">
        <v>1</v>
      </c>
      <c r="AC9" s="19">
        <v>1</v>
      </c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>
        <v>3</v>
      </c>
      <c r="AR9" s="2"/>
      <c r="AS9" s="1">
        <f t="shared" si="0"/>
        <v>10</v>
      </c>
      <c r="AT9" s="1">
        <f t="shared" si="1"/>
        <v>2</v>
      </c>
      <c r="AU9" s="1">
        <f t="shared" si="3"/>
        <v>2</v>
      </c>
      <c r="AV9" s="1">
        <f t="shared" si="2"/>
        <v>700</v>
      </c>
    </row>
    <row r="10" spans="1:50" x14ac:dyDescent="0.15">
      <c r="A10" s="61" t="s">
        <v>2</v>
      </c>
      <c r="B10" s="61">
        <v>4</v>
      </c>
      <c r="C10" s="61">
        <v>95</v>
      </c>
      <c r="D10" s="61">
        <v>70</v>
      </c>
      <c r="E10" s="61"/>
      <c r="F10" s="65"/>
      <c r="G10" s="63"/>
      <c r="H10" s="63"/>
      <c r="I10" s="63"/>
      <c r="J10" s="63"/>
      <c r="K10" s="63"/>
      <c r="L10" s="63">
        <v>1</v>
      </c>
      <c r="M10" s="63"/>
      <c r="N10" s="63"/>
      <c r="O10" s="63"/>
      <c r="P10" s="63"/>
      <c r="Q10" s="63">
        <v>1</v>
      </c>
      <c r="R10" s="63"/>
      <c r="S10" s="63"/>
      <c r="T10" s="63"/>
      <c r="U10" s="63">
        <v>1</v>
      </c>
      <c r="V10" s="63"/>
      <c r="W10" s="63"/>
      <c r="X10" s="63">
        <v>1</v>
      </c>
      <c r="Y10" s="63"/>
      <c r="Z10" s="63"/>
      <c r="AA10" s="63">
        <v>1</v>
      </c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>
        <v>2</v>
      </c>
      <c r="AQ10" s="63">
        <v>1</v>
      </c>
      <c r="AR10" s="2"/>
      <c r="AS10" s="1">
        <f t="shared" si="0"/>
        <v>8</v>
      </c>
      <c r="AT10" s="1">
        <f t="shared" si="1"/>
        <v>2</v>
      </c>
      <c r="AU10" s="1">
        <f t="shared" si="3"/>
        <v>2</v>
      </c>
      <c r="AV10" s="1">
        <f t="shared" si="2"/>
        <v>560</v>
      </c>
    </row>
    <row r="11" spans="1:50" x14ac:dyDescent="0.15">
      <c r="A11" s="1" t="s">
        <v>77</v>
      </c>
      <c r="B11" s="1">
        <v>3</v>
      </c>
      <c r="C11" s="15">
        <v>100</v>
      </c>
      <c r="D11" s="1">
        <v>70</v>
      </c>
      <c r="E11" s="12"/>
      <c r="F11" s="46">
        <v>1</v>
      </c>
      <c r="G11" s="19"/>
      <c r="H11" s="19"/>
      <c r="I11" s="38"/>
      <c r="J11" s="19">
        <v>1</v>
      </c>
      <c r="K11" s="19"/>
      <c r="L11" s="19">
        <v>1</v>
      </c>
      <c r="M11" s="19"/>
      <c r="N11" s="19"/>
      <c r="O11" s="19"/>
      <c r="P11" s="19"/>
      <c r="Q11" s="19"/>
      <c r="R11" s="19"/>
      <c r="S11" s="19"/>
      <c r="T11" s="19"/>
      <c r="U11" s="19">
        <v>1</v>
      </c>
      <c r="V11" s="19"/>
      <c r="W11" s="19"/>
      <c r="X11" s="19"/>
      <c r="Y11" s="19"/>
      <c r="Z11" s="19"/>
      <c r="AA11" s="19">
        <v>1</v>
      </c>
      <c r="AB11" s="19"/>
      <c r="AC11" s="19">
        <v>1</v>
      </c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>
        <v>1</v>
      </c>
      <c r="AR11" s="2"/>
      <c r="AS11" s="1">
        <f t="shared" si="0"/>
        <v>6</v>
      </c>
      <c r="AT11" s="1">
        <f t="shared" si="1"/>
        <v>2</v>
      </c>
      <c r="AU11" s="1">
        <f t="shared" si="3"/>
        <v>2</v>
      </c>
      <c r="AV11" s="1">
        <f t="shared" si="2"/>
        <v>420</v>
      </c>
    </row>
    <row r="12" spans="1:50" x14ac:dyDescent="0.15">
      <c r="A12" s="61" t="s">
        <v>46</v>
      </c>
      <c r="B12" s="61">
        <v>3</v>
      </c>
      <c r="C12" s="61">
        <v>103</v>
      </c>
      <c r="D12" s="61">
        <v>70</v>
      </c>
      <c r="E12" s="61"/>
      <c r="F12" s="65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>
        <v>3</v>
      </c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2"/>
      <c r="AS12" s="1">
        <f t="shared" si="0"/>
        <v>3</v>
      </c>
      <c r="AT12" s="1">
        <f t="shared" si="1"/>
        <v>1</v>
      </c>
      <c r="AU12" s="1">
        <f t="shared" si="3"/>
        <v>1</v>
      </c>
      <c r="AV12" s="1">
        <f t="shared" si="2"/>
        <v>210</v>
      </c>
    </row>
    <row r="13" spans="1:50" x14ac:dyDescent="0.15">
      <c r="A13" s="1" t="s">
        <v>3</v>
      </c>
      <c r="B13" s="1">
        <v>3</v>
      </c>
      <c r="C13" s="15">
        <v>105</v>
      </c>
      <c r="D13" s="1">
        <v>70</v>
      </c>
      <c r="E13" s="12"/>
      <c r="F13" s="46"/>
      <c r="G13" s="19">
        <v>1</v>
      </c>
      <c r="H13" s="19"/>
      <c r="I13" s="38"/>
      <c r="J13" s="19"/>
      <c r="K13" s="19"/>
      <c r="L13" s="19"/>
      <c r="M13" s="19"/>
      <c r="N13" s="19"/>
      <c r="O13" s="19"/>
      <c r="P13" s="19"/>
      <c r="Q13" s="19">
        <v>1</v>
      </c>
      <c r="R13" s="19"/>
      <c r="S13" s="19"/>
      <c r="T13" s="19"/>
      <c r="U13" s="19"/>
      <c r="V13" s="19"/>
      <c r="W13" s="19"/>
      <c r="X13" s="19">
        <v>1</v>
      </c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>
        <v>2</v>
      </c>
      <c r="AP13" s="19"/>
      <c r="AQ13" s="19">
        <v>1</v>
      </c>
      <c r="AR13" s="2"/>
      <c r="AS13" s="1">
        <f t="shared" si="0"/>
        <v>6</v>
      </c>
      <c r="AT13" s="1">
        <f t="shared" si="1"/>
        <v>2</v>
      </c>
      <c r="AU13" s="1">
        <f t="shared" si="3"/>
        <v>2</v>
      </c>
      <c r="AV13" s="1">
        <f t="shared" si="2"/>
        <v>420</v>
      </c>
    </row>
    <row r="14" spans="1:50" x14ac:dyDescent="0.15">
      <c r="A14" s="61" t="s">
        <v>47</v>
      </c>
      <c r="B14" s="61">
        <v>3</v>
      </c>
      <c r="C14" s="61">
        <v>105</v>
      </c>
      <c r="D14" s="61">
        <v>70</v>
      </c>
      <c r="E14" s="61"/>
      <c r="F14" s="65">
        <v>1</v>
      </c>
      <c r="G14" s="63"/>
      <c r="H14" s="63"/>
      <c r="I14" s="63"/>
      <c r="J14" s="63"/>
      <c r="K14" s="63"/>
      <c r="L14" s="63">
        <v>1</v>
      </c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>
        <v>1</v>
      </c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>
        <v>1</v>
      </c>
      <c r="AR14" s="2"/>
      <c r="AS14" s="1">
        <f t="shared" si="0"/>
        <v>3</v>
      </c>
      <c r="AT14" s="1">
        <f t="shared" si="1"/>
        <v>1</v>
      </c>
      <c r="AU14" s="1">
        <f t="shared" si="3"/>
        <v>1</v>
      </c>
      <c r="AV14" s="1">
        <f t="shared" si="2"/>
        <v>210</v>
      </c>
    </row>
    <row r="15" spans="1:50" x14ac:dyDescent="0.15">
      <c r="A15" s="1" t="s">
        <v>48</v>
      </c>
      <c r="B15" s="1">
        <v>4</v>
      </c>
      <c r="C15" s="15">
        <v>105</v>
      </c>
      <c r="D15" s="1">
        <v>70</v>
      </c>
      <c r="E15" s="12"/>
      <c r="F15" s="46"/>
      <c r="G15" s="19"/>
      <c r="H15" s="19"/>
      <c r="I15" s="38"/>
      <c r="J15" s="19"/>
      <c r="K15" s="19">
        <v>1</v>
      </c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>
        <v>1</v>
      </c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>
        <v>2</v>
      </c>
      <c r="AR15" s="2"/>
      <c r="AS15" s="1">
        <f t="shared" si="0"/>
        <v>4</v>
      </c>
      <c r="AT15" s="1">
        <f t="shared" si="1"/>
        <v>1</v>
      </c>
      <c r="AU15" s="1">
        <f t="shared" si="3"/>
        <v>1</v>
      </c>
      <c r="AV15" s="1">
        <f t="shared" si="2"/>
        <v>280</v>
      </c>
    </row>
    <row r="16" spans="1:50" x14ac:dyDescent="0.15">
      <c r="A16" s="61" t="s">
        <v>49</v>
      </c>
      <c r="B16" s="61">
        <v>2</v>
      </c>
      <c r="C16" s="61">
        <v>105</v>
      </c>
      <c r="D16" s="61">
        <v>70</v>
      </c>
      <c r="E16" s="61"/>
      <c r="F16" s="65"/>
      <c r="G16" s="63"/>
      <c r="H16" s="63"/>
      <c r="I16" s="63"/>
      <c r="J16" s="63"/>
      <c r="K16" s="63"/>
      <c r="L16" s="63"/>
      <c r="M16" s="63"/>
      <c r="N16" s="63"/>
      <c r="O16" s="63"/>
      <c r="P16" s="63">
        <v>2</v>
      </c>
      <c r="Q16" s="63">
        <v>1</v>
      </c>
      <c r="R16" s="63"/>
      <c r="S16" s="63"/>
      <c r="T16" s="63"/>
      <c r="U16" s="63"/>
      <c r="V16" s="63"/>
      <c r="W16" s="63"/>
      <c r="X16" s="63"/>
      <c r="Y16" s="63"/>
      <c r="Z16" s="63">
        <v>1</v>
      </c>
      <c r="AA16" s="63">
        <v>1</v>
      </c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>
        <v>1</v>
      </c>
      <c r="AR16" s="2"/>
      <c r="AS16" s="1">
        <f t="shared" si="0"/>
        <v>6</v>
      </c>
      <c r="AT16" s="1">
        <f t="shared" si="1"/>
        <v>3</v>
      </c>
      <c r="AU16" s="1">
        <f t="shared" si="3"/>
        <v>3</v>
      </c>
      <c r="AV16" s="1">
        <f t="shared" si="2"/>
        <v>420</v>
      </c>
    </row>
    <row r="17" spans="1:50" x14ac:dyDescent="0.15">
      <c r="A17" s="1" t="s">
        <v>50</v>
      </c>
      <c r="B17" s="1">
        <v>4</v>
      </c>
      <c r="C17" s="15">
        <v>105</v>
      </c>
      <c r="D17" s="1">
        <v>70</v>
      </c>
      <c r="E17" s="12"/>
      <c r="F17" s="46">
        <v>1</v>
      </c>
      <c r="G17" s="19"/>
      <c r="H17" s="19"/>
      <c r="I17" s="38"/>
      <c r="J17" s="19"/>
      <c r="K17" s="19">
        <v>2</v>
      </c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>
        <v>1</v>
      </c>
      <c r="X17" s="19"/>
      <c r="Y17" s="19"/>
      <c r="Z17" s="19"/>
      <c r="AA17" s="19"/>
      <c r="AB17" s="19"/>
      <c r="AC17" s="19">
        <v>1</v>
      </c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2"/>
      <c r="AS17" s="1">
        <f t="shared" si="0"/>
        <v>4</v>
      </c>
      <c r="AT17" s="1">
        <f t="shared" si="1"/>
        <v>1</v>
      </c>
      <c r="AU17" s="1">
        <f t="shared" si="3"/>
        <v>1</v>
      </c>
      <c r="AV17" s="1">
        <f t="shared" si="2"/>
        <v>280</v>
      </c>
    </row>
    <row r="18" spans="1:50" x14ac:dyDescent="0.15">
      <c r="A18" s="61" t="s">
        <v>51</v>
      </c>
      <c r="B18" s="61">
        <v>4</v>
      </c>
      <c r="C18" s="61">
        <v>110</v>
      </c>
      <c r="D18" s="61">
        <v>70</v>
      </c>
      <c r="E18" s="61"/>
      <c r="F18" s="65"/>
      <c r="G18" s="63">
        <v>1</v>
      </c>
      <c r="H18" s="63"/>
      <c r="I18" s="63"/>
      <c r="J18" s="63"/>
      <c r="K18" s="63">
        <v>1</v>
      </c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>
        <v>2</v>
      </c>
      <c r="X18" s="63">
        <v>1</v>
      </c>
      <c r="Y18" s="63"/>
      <c r="Z18" s="63">
        <v>1</v>
      </c>
      <c r="AA18" s="63">
        <v>1</v>
      </c>
      <c r="AB18" s="63"/>
      <c r="AC18" s="63"/>
      <c r="AD18" s="63"/>
      <c r="AE18" s="63"/>
      <c r="AF18" s="63"/>
      <c r="AG18" s="63"/>
      <c r="AH18" s="63">
        <v>1</v>
      </c>
      <c r="AI18" s="63"/>
      <c r="AJ18" s="63"/>
      <c r="AK18" s="63"/>
      <c r="AL18" s="63"/>
      <c r="AM18" s="63"/>
      <c r="AN18" s="63"/>
      <c r="AO18" s="63"/>
      <c r="AP18" s="63"/>
      <c r="AQ18" s="63"/>
      <c r="AR18" s="2"/>
      <c r="AS18" s="1">
        <f t="shared" si="0"/>
        <v>8</v>
      </c>
      <c r="AT18" s="1">
        <f t="shared" si="1"/>
        <v>2</v>
      </c>
      <c r="AU18" s="1">
        <f t="shared" si="3"/>
        <v>2</v>
      </c>
      <c r="AV18" s="1">
        <f t="shared" si="2"/>
        <v>560</v>
      </c>
    </row>
    <row r="19" spans="1:50" x14ac:dyDescent="0.15">
      <c r="A19" s="1" t="s">
        <v>4</v>
      </c>
      <c r="B19" s="1">
        <v>3</v>
      </c>
      <c r="C19" s="15">
        <v>110</v>
      </c>
      <c r="D19" s="1">
        <v>70</v>
      </c>
      <c r="E19" s="12"/>
      <c r="F19" s="46">
        <v>1</v>
      </c>
      <c r="G19" s="19"/>
      <c r="H19" s="19"/>
      <c r="I19" s="38"/>
      <c r="J19" s="19"/>
      <c r="K19" s="19"/>
      <c r="L19" s="19">
        <v>1</v>
      </c>
      <c r="M19" s="19"/>
      <c r="N19" s="19"/>
      <c r="O19" s="19"/>
      <c r="P19" s="19">
        <v>1</v>
      </c>
      <c r="Q19" s="19">
        <v>1</v>
      </c>
      <c r="R19" s="19"/>
      <c r="S19" s="19"/>
      <c r="T19" s="19"/>
      <c r="U19" s="19">
        <v>1</v>
      </c>
      <c r="V19" s="19"/>
      <c r="W19" s="19"/>
      <c r="X19" s="19"/>
      <c r="Y19" s="19"/>
      <c r="Z19" s="19">
        <v>1</v>
      </c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>
        <v>2</v>
      </c>
      <c r="AP19" s="19"/>
      <c r="AQ19" s="19">
        <v>2</v>
      </c>
      <c r="AR19" s="2"/>
      <c r="AS19" s="1">
        <f t="shared" si="0"/>
        <v>9</v>
      </c>
      <c r="AT19" s="1">
        <f t="shared" si="1"/>
        <v>3</v>
      </c>
      <c r="AU19" s="1">
        <f t="shared" ref="AU19:AU21" si="4">ROUNDUP(AT19,0)</f>
        <v>3</v>
      </c>
      <c r="AV19" s="1">
        <f t="shared" si="2"/>
        <v>630</v>
      </c>
    </row>
    <row r="20" spans="1:50" x14ac:dyDescent="0.15">
      <c r="A20" s="61" t="s">
        <v>52</v>
      </c>
      <c r="B20" s="61">
        <v>6</v>
      </c>
      <c r="C20" s="61">
        <v>115</v>
      </c>
      <c r="D20" s="61">
        <v>70</v>
      </c>
      <c r="E20" s="61"/>
      <c r="F20" s="65"/>
      <c r="G20" s="63">
        <v>1</v>
      </c>
      <c r="H20" s="63"/>
      <c r="I20" s="63"/>
      <c r="J20" s="63"/>
      <c r="K20" s="63">
        <v>1</v>
      </c>
      <c r="L20" s="63">
        <v>1</v>
      </c>
      <c r="M20" s="63"/>
      <c r="N20" s="63"/>
      <c r="O20" s="63"/>
      <c r="P20" s="63"/>
      <c r="Q20" s="63"/>
      <c r="R20" s="63"/>
      <c r="S20" s="63">
        <v>1</v>
      </c>
      <c r="T20" s="63"/>
      <c r="U20" s="63">
        <v>1</v>
      </c>
      <c r="V20" s="63"/>
      <c r="W20" s="63">
        <v>1</v>
      </c>
      <c r="X20" s="63">
        <v>1</v>
      </c>
      <c r="Y20" s="63"/>
      <c r="Z20" s="63"/>
      <c r="AA20" s="63"/>
      <c r="AB20" s="63"/>
      <c r="AC20" s="63">
        <v>2</v>
      </c>
      <c r="AD20" s="63"/>
      <c r="AE20" s="63"/>
      <c r="AF20" s="63"/>
      <c r="AG20" s="63"/>
      <c r="AH20" s="63">
        <v>1</v>
      </c>
      <c r="AI20" s="63"/>
      <c r="AJ20" s="63"/>
      <c r="AK20" s="63"/>
      <c r="AL20" s="63"/>
      <c r="AM20" s="63"/>
      <c r="AN20" s="63">
        <v>1</v>
      </c>
      <c r="AO20" s="63"/>
      <c r="AP20" s="63"/>
      <c r="AQ20" s="63">
        <v>1</v>
      </c>
      <c r="AR20" s="2"/>
      <c r="AS20" s="1">
        <f t="shared" si="0"/>
        <v>12</v>
      </c>
      <c r="AT20" s="1">
        <f t="shared" si="1"/>
        <v>2</v>
      </c>
      <c r="AU20" s="1">
        <f t="shared" si="4"/>
        <v>2</v>
      </c>
      <c r="AV20" s="1">
        <f t="shared" si="2"/>
        <v>840</v>
      </c>
    </row>
    <row r="21" spans="1:50" x14ac:dyDescent="0.15">
      <c r="A21" s="5" t="s">
        <v>1</v>
      </c>
      <c r="B21" s="1">
        <v>6</v>
      </c>
      <c r="C21" s="15">
        <v>125</v>
      </c>
      <c r="D21" s="1">
        <v>70</v>
      </c>
      <c r="E21" s="12"/>
      <c r="F21" s="46"/>
      <c r="G21" s="19"/>
      <c r="H21" s="19"/>
      <c r="I21" s="19"/>
      <c r="J21" s="19">
        <v>3</v>
      </c>
      <c r="K21" s="19">
        <v>1</v>
      </c>
      <c r="L21" s="19">
        <v>1</v>
      </c>
      <c r="M21" s="19"/>
      <c r="N21" s="19"/>
      <c r="O21" s="19"/>
      <c r="P21" s="19">
        <v>2</v>
      </c>
      <c r="Q21" s="19">
        <v>2</v>
      </c>
      <c r="R21" s="19"/>
      <c r="S21" s="19">
        <v>1</v>
      </c>
      <c r="T21" s="19"/>
      <c r="U21" s="19">
        <v>2</v>
      </c>
      <c r="V21" s="19"/>
      <c r="W21" s="19">
        <v>1</v>
      </c>
      <c r="X21" s="19">
        <v>1</v>
      </c>
      <c r="Y21" s="19"/>
      <c r="Z21" s="19">
        <v>1</v>
      </c>
      <c r="AA21" s="19">
        <v>1</v>
      </c>
      <c r="AB21" s="19"/>
      <c r="AC21" s="19"/>
      <c r="AD21" s="19">
        <v>1</v>
      </c>
      <c r="AE21" s="19"/>
      <c r="AF21" s="19"/>
      <c r="AG21" s="19"/>
      <c r="AH21" s="19">
        <v>2</v>
      </c>
      <c r="AI21" s="19"/>
      <c r="AJ21" s="19"/>
      <c r="AK21" s="19"/>
      <c r="AL21" s="19"/>
      <c r="AM21" s="19"/>
      <c r="AN21" s="19">
        <v>1</v>
      </c>
      <c r="AO21" s="19">
        <v>2</v>
      </c>
      <c r="AP21" s="19"/>
      <c r="AQ21" s="19">
        <v>2</v>
      </c>
      <c r="AR21" s="2"/>
      <c r="AS21" s="1">
        <f t="shared" si="0"/>
        <v>24</v>
      </c>
      <c r="AT21" s="1">
        <f t="shared" si="1"/>
        <v>4</v>
      </c>
      <c r="AU21" s="1">
        <f t="shared" si="4"/>
        <v>4</v>
      </c>
      <c r="AV21" s="1">
        <f t="shared" si="2"/>
        <v>1680</v>
      </c>
    </row>
    <row r="22" spans="1:50" x14ac:dyDescent="0.15">
      <c r="A22" s="61" t="s">
        <v>53</v>
      </c>
      <c r="B22" s="61">
        <v>4</v>
      </c>
      <c r="C22" s="61">
        <v>130</v>
      </c>
      <c r="D22" s="61">
        <v>70</v>
      </c>
      <c r="E22" s="61"/>
      <c r="F22" s="65"/>
      <c r="G22" s="63">
        <v>1</v>
      </c>
      <c r="H22" s="63"/>
      <c r="I22" s="63"/>
      <c r="J22" s="63">
        <v>1</v>
      </c>
      <c r="K22" s="63"/>
      <c r="L22" s="63">
        <v>1</v>
      </c>
      <c r="M22" s="63"/>
      <c r="N22" s="63"/>
      <c r="O22" s="63"/>
      <c r="P22" s="63"/>
      <c r="Q22" s="63"/>
      <c r="R22" s="63"/>
      <c r="S22" s="63">
        <v>1</v>
      </c>
      <c r="T22" s="63"/>
      <c r="U22" s="63">
        <v>1</v>
      </c>
      <c r="V22" s="63"/>
      <c r="W22" s="63">
        <v>1</v>
      </c>
      <c r="X22" s="63">
        <v>1</v>
      </c>
      <c r="Y22" s="63"/>
      <c r="Z22" s="63">
        <v>1</v>
      </c>
      <c r="AA22" s="63">
        <v>1</v>
      </c>
      <c r="AB22" s="63">
        <v>2</v>
      </c>
      <c r="AC22" s="63">
        <v>1</v>
      </c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>
        <v>2</v>
      </c>
      <c r="AO22" s="63"/>
      <c r="AP22" s="63">
        <v>1</v>
      </c>
      <c r="AQ22" s="63">
        <v>1</v>
      </c>
      <c r="AR22" s="2"/>
      <c r="AS22" s="1">
        <f t="shared" si="0"/>
        <v>16</v>
      </c>
      <c r="AT22" s="1">
        <f t="shared" si="1"/>
        <v>4</v>
      </c>
      <c r="AU22" s="1">
        <f t="shared" si="3"/>
        <v>4</v>
      </c>
      <c r="AV22" s="1">
        <f t="shared" si="2"/>
        <v>1120</v>
      </c>
    </row>
    <row r="23" spans="1:50" ht="14.25" thickBot="1" x14ac:dyDescent="0.2">
      <c r="A23" s="4" t="s">
        <v>54</v>
      </c>
      <c r="B23" s="4">
        <v>4</v>
      </c>
      <c r="C23" s="16">
        <v>135</v>
      </c>
      <c r="D23" s="4">
        <v>70</v>
      </c>
      <c r="E23" s="13"/>
      <c r="F23" s="46"/>
      <c r="G23" s="20">
        <v>1</v>
      </c>
      <c r="H23" s="20"/>
      <c r="I23" s="20"/>
      <c r="J23" s="20">
        <v>2</v>
      </c>
      <c r="K23" s="20"/>
      <c r="L23" s="20">
        <v>2</v>
      </c>
      <c r="M23" s="20"/>
      <c r="N23" s="20"/>
      <c r="O23" s="20"/>
      <c r="P23" s="20">
        <v>2</v>
      </c>
      <c r="Q23" s="20"/>
      <c r="R23" s="20"/>
      <c r="S23" s="20"/>
      <c r="T23" s="20"/>
      <c r="U23" s="20"/>
      <c r="V23" s="20"/>
      <c r="W23" s="20">
        <v>1</v>
      </c>
      <c r="X23" s="20">
        <v>1</v>
      </c>
      <c r="Y23" s="20"/>
      <c r="Z23" s="20"/>
      <c r="AA23" s="20"/>
      <c r="AB23" s="20">
        <v>4</v>
      </c>
      <c r="AC23" s="20">
        <v>1</v>
      </c>
      <c r="AD23" s="20"/>
      <c r="AE23" s="20"/>
      <c r="AF23" s="20"/>
      <c r="AG23" s="20"/>
      <c r="AH23" s="20">
        <v>1</v>
      </c>
      <c r="AI23" s="20"/>
      <c r="AJ23" s="20"/>
      <c r="AK23" s="20"/>
      <c r="AL23" s="20"/>
      <c r="AM23" s="20"/>
      <c r="AN23" s="20">
        <v>2</v>
      </c>
      <c r="AO23" s="20"/>
      <c r="AP23" s="20">
        <v>1</v>
      </c>
      <c r="AQ23" s="20">
        <v>2</v>
      </c>
      <c r="AR23" s="14"/>
      <c r="AS23" s="4">
        <f t="shared" si="0"/>
        <v>20</v>
      </c>
      <c r="AT23" s="4">
        <f t="shared" si="1"/>
        <v>5</v>
      </c>
      <c r="AU23" s="4">
        <f t="shared" si="3"/>
        <v>5</v>
      </c>
      <c r="AV23" s="4">
        <f t="shared" si="2"/>
        <v>1400</v>
      </c>
    </row>
    <row r="24" spans="1:50" ht="14.25" thickTop="1" x14ac:dyDescent="0.15">
      <c r="A24" s="52" t="s">
        <v>22</v>
      </c>
      <c r="B24" s="53"/>
      <c r="C24" s="53"/>
      <c r="D24" s="54"/>
      <c r="E24" s="9"/>
      <c r="F24" s="46">
        <f>SUM(F4:F23)*70</f>
        <v>560</v>
      </c>
      <c r="G24" s="3">
        <f>SUM(G4:G23)*70</f>
        <v>630</v>
      </c>
      <c r="H24" s="3">
        <f>SUM(H4:H23)*70</f>
        <v>0</v>
      </c>
      <c r="I24" s="3">
        <f>SUM(I4:I23)*70</f>
        <v>0</v>
      </c>
      <c r="J24" s="3">
        <f>SUM(J4:J23)*70</f>
        <v>700</v>
      </c>
      <c r="K24" s="3">
        <f t="shared" ref="K24:AQ24" si="5">SUM(K4:K23)*70</f>
        <v>630</v>
      </c>
      <c r="L24" s="3">
        <f t="shared" si="5"/>
        <v>700</v>
      </c>
      <c r="M24" s="3">
        <f t="shared" si="5"/>
        <v>0</v>
      </c>
      <c r="N24" s="3">
        <f t="shared" si="5"/>
        <v>0</v>
      </c>
      <c r="O24" s="3">
        <f t="shared" si="5"/>
        <v>0</v>
      </c>
      <c r="P24" s="3">
        <f t="shared" si="5"/>
        <v>700</v>
      </c>
      <c r="Q24" s="3">
        <f t="shared" si="5"/>
        <v>700</v>
      </c>
      <c r="R24" s="3">
        <f t="shared" si="5"/>
        <v>0</v>
      </c>
      <c r="S24" s="3">
        <f t="shared" si="5"/>
        <v>350</v>
      </c>
      <c r="T24" s="3">
        <f t="shared" si="5"/>
        <v>0</v>
      </c>
      <c r="U24" s="3">
        <f t="shared" si="5"/>
        <v>700</v>
      </c>
      <c r="V24" s="3">
        <f t="shared" si="5"/>
        <v>0</v>
      </c>
      <c r="W24" s="3">
        <f t="shared" si="5"/>
        <v>700</v>
      </c>
      <c r="X24" s="3">
        <f t="shared" si="5"/>
        <v>700</v>
      </c>
      <c r="Y24" s="3">
        <f t="shared" si="5"/>
        <v>0</v>
      </c>
      <c r="Z24" s="3">
        <f t="shared" si="5"/>
        <v>700</v>
      </c>
      <c r="AA24" s="3">
        <f t="shared" si="5"/>
        <v>700</v>
      </c>
      <c r="AB24" s="3">
        <f t="shared" si="5"/>
        <v>700</v>
      </c>
      <c r="AC24" s="3">
        <f t="shared" si="5"/>
        <v>700</v>
      </c>
      <c r="AD24" s="3">
        <f t="shared" si="5"/>
        <v>280</v>
      </c>
      <c r="AE24" s="3">
        <f t="shared" si="5"/>
        <v>0</v>
      </c>
      <c r="AF24" s="3">
        <f t="shared" si="5"/>
        <v>0</v>
      </c>
      <c r="AG24" s="3">
        <f t="shared" si="5"/>
        <v>0</v>
      </c>
      <c r="AH24" s="3">
        <f t="shared" si="5"/>
        <v>700</v>
      </c>
      <c r="AI24" s="3">
        <f t="shared" si="5"/>
        <v>0</v>
      </c>
      <c r="AJ24" s="3">
        <f t="shared" si="5"/>
        <v>0</v>
      </c>
      <c r="AK24" s="3">
        <f t="shared" si="5"/>
        <v>0</v>
      </c>
      <c r="AL24" s="3">
        <f t="shared" si="5"/>
        <v>0</v>
      </c>
      <c r="AM24" s="3">
        <f t="shared" si="5"/>
        <v>0</v>
      </c>
      <c r="AN24" s="3">
        <f t="shared" si="5"/>
        <v>490</v>
      </c>
      <c r="AO24" s="3">
        <f t="shared" si="5"/>
        <v>560</v>
      </c>
      <c r="AP24" s="3">
        <f t="shared" ref="AP24" si="6">SUM(AP4:AP23)*70</f>
        <v>490</v>
      </c>
      <c r="AQ24" s="3">
        <f t="shared" si="5"/>
        <v>1680</v>
      </c>
      <c r="AR24" s="3"/>
      <c r="AS24" s="3">
        <f>SUM(AS4:AS23)</f>
        <v>193</v>
      </c>
      <c r="AT24" s="3">
        <f t="shared" ref="AT24" si="7">SUM(AT4:AT23)</f>
        <v>51</v>
      </c>
      <c r="AU24" s="3">
        <f>SUM(AU4:AU23)</f>
        <v>51</v>
      </c>
      <c r="AV24" s="3">
        <f>SUM(AV4:AV23)</f>
        <v>13510</v>
      </c>
      <c r="AW24" s="50"/>
      <c r="AX24" s="51"/>
    </row>
    <row r="25" spans="1:50" x14ac:dyDescent="0.15">
      <c r="A25" s="55" t="s">
        <v>23</v>
      </c>
      <c r="B25" s="56"/>
      <c r="C25" s="56"/>
      <c r="D25" s="57"/>
      <c r="E25" s="10"/>
      <c r="F25" s="46">
        <f t="shared" ref="F25:S25" si="8">F24+F3*$AX$4</f>
        <v>860</v>
      </c>
      <c r="G25" s="5">
        <f t="shared" si="8"/>
        <v>930</v>
      </c>
      <c r="H25" s="5">
        <f t="shared" si="8"/>
        <v>0</v>
      </c>
      <c r="I25" s="5">
        <f t="shared" si="8"/>
        <v>0</v>
      </c>
      <c r="J25" s="5">
        <f t="shared" si="8"/>
        <v>1000</v>
      </c>
      <c r="K25" s="5">
        <f t="shared" si="8"/>
        <v>930</v>
      </c>
      <c r="L25" s="5">
        <f t="shared" si="8"/>
        <v>1000</v>
      </c>
      <c r="M25" s="5">
        <f t="shared" si="8"/>
        <v>0</v>
      </c>
      <c r="N25" s="5">
        <f t="shared" si="8"/>
        <v>0</v>
      </c>
      <c r="O25" s="5">
        <f t="shared" si="8"/>
        <v>0</v>
      </c>
      <c r="P25" s="5">
        <f t="shared" si="8"/>
        <v>1000</v>
      </c>
      <c r="Q25" s="5">
        <f t="shared" si="8"/>
        <v>1000</v>
      </c>
      <c r="R25" s="5">
        <f t="shared" si="8"/>
        <v>0</v>
      </c>
      <c r="S25" s="5">
        <f t="shared" si="8"/>
        <v>650</v>
      </c>
      <c r="T25" s="5">
        <v>0</v>
      </c>
      <c r="U25" s="5">
        <f t="shared" ref="U25:AQ25" si="9">U24+U3*$AX$4</f>
        <v>1000</v>
      </c>
      <c r="V25" s="5">
        <f t="shared" si="9"/>
        <v>0</v>
      </c>
      <c r="W25" s="5">
        <f t="shared" si="9"/>
        <v>1000</v>
      </c>
      <c r="X25" s="5">
        <f t="shared" si="9"/>
        <v>1000</v>
      </c>
      <c r="Y25" s="5">
        <f t="shared" si="9"/>
        <v>0</v>
      </c>
      <c r="Z25" s="5">
        <f t="shared" si="9"/>
        <v>1000</v>
      </c>
      <c r="AA25" s="5">
        <f t="shared" si="9"/>
        <v>1000</v>
      </c>
      <c r="AB25" s="5">
        <f t="shared" si="9"/>
        <v>1000</v>
      </c>
      <c r="AC25" s="5">
        <f t="shared" si="9"/>
        <v>1000</v>
      </c>
      <c r="AD25" s="5">
        <f t="shared" si="9"/>
        <v>580</v>
      </c>
      <c r="AE25" s="5">
        <f t="shared" si="9"/>
        <v>0</v>
      </c>
      <c r="AF25" s="5">
        <f t="shared" si="9"/>
        <v>0</v>
      </c>
      <c r="AG25" s="5">
        <f t="shared" si="9"/>
        <v>0</v>
      </c>
      <c r="AH25" s="5">
        <f t="shared" si="9"/>
        <v>1000</v>
      </c>
      <c r="AI25" s="5">
        <f t="shared" si="9"/>
        <v>0</v>
      </c>
      <c r="AJ25" s="5">
        <f t="shared" si="9"/>
        <v>0</v>
      </c>
      <c r="AK25" s="5">
        <f t="shared" si="9"/>
        <v>0</v>
      </c>
      <c r="AL25" s="5">
        <f t="shared" si="9"/>
        <v>0</v>
      </c>
      <c r="AM25" s="5">
        <f t="shared" si="9"/>
        <v>0</v>
      </c>
      <c r="AN25" s="5">
        <f t="shared" si="9"/>
        <v>790</v>
      </c>
      <c r="AO25" s="5">
        <f t="shared" si="9"/>
        <v>860</v>
      </c>
      <c r="AP25" s="5">
        <f t="shared" si="9"/>
        <v>790</v>
      </c>
      <c r="AQ25" s="5">
        <f t="shared" si="9"/>
        <v>1680</v>
      </c>
      <c r="AR25" s="5"/>
      <c r="AS25" s="5">
        <f>300*AS3</f>
        <v>5700</v>
      </c>
      <c r="AT25" s="5"/>
      <c r="AU25" s="1"/>
      <c r="AV25" s="1"/>
    </row>
    <row r="26" spans="1:50" x14ac:dyDescent="0.15">
      <c r="A26" s="58" t="s">
        <v>55</v>
      </c>
      <c r="B26" s="59"/>
      <c r="C26" s="59"/>
      <c r="D26" s="60"/>
      <c r="E26" s="17"/>
      <c r="F26" s="47">
        <f>ROUNDUP(F25,-2)</f>
        <v>900</v>
      </c>
      <c r="G26" s="18">
        <f>ROUNDUP(G25,-2)</f>
        <v>1000</v>
      </c>
      <c r="H26" s="18">
        <f>ROUNDUP(H25,-2)</f>
        <v>0</v>
      </c>
      <c r="I26" s="18">
        <f>ROUNDUP(I25,-2)</f>
        <v>0</v>
      </c>
      <c r="J26" s="18">
        <f>ROUNDUP(J25,-2)</f>
        <v>1000</v>
      </c>
      <c r="K26" s="18">
        <f t="shared" ref="K26:X26" si="10">ROUNDUP(K25,-2)</f>
        <v>1000</v>
      </c>
      <c r="L26" s="18">
        <f t="shared" si="10"/>
        <v>1000</v>
      </c>
      <c r="M26" s="18">
        <f t="shared" si="10"/>
        <v>0</v>
      </c>
      <c r="N26" s="18">
        <f t="shared" si="10"/>
        <v>0</v>
      </c>
      <c r="O26" s="18">
        <f t="shared" si="10"/>
        <v>0</v>
      </c>
      <c r="P26" s="18">
        <f t="shared" si="10"/>
        <v>1000</v>
      </c>
      <c r="Q26" s="18">
        <f t="shared" si="10"/>
        <v>1000</v>
      </c>
      <c r="R26" s="18">
        <f t="shared" si="10"/>
        <v>0</v>
      </c>
      <c r="S26" s="18">
        <f t="shared" si="10"/>
        <v>700</v>
      </c>
      <c r="T26" s="18">
        <f t="shared" si="10"/>
        <v>0</v>
      </c>
      <c r="U26" s="18">
        <f t="shared" si="10"/>
        <v>1000</v>
      </c>
      <c r="V26" s="18">
        <f t="shared" si="10"/>
        <v>0</v>
      </c>
      <c r="W26" s="18">
        <f t="shared" si="10"/>
        <v>1000</v>
      </c>
      <c r="X26" s="18">
        <f t="shared" si="10"/>
        <v>1000</v>
      </c>
      <c r="Y26" s="18">
        <f t="shared" ref="Y26" si="11">ROUNDUP(Y25,-2)</f>
        <v>0</v>
      </c>
      <c r="Z26" s="18">
        <f t="shared" ref="Z26" si="12">ROUNDUP(Z25,-2)</f>
        <v>1000</v>
      </c>
      <c r="AA26" s="18">
        <f t="shared" ref="AA26" si="13">ROUNDUP(AA25,-2)</f>
        <v>1000</v>
      </c>
      <c r="AB26" s="18">
        <f t="shared" ref="AB26" si="14">ROUNDUP(AB25,-2)</f>
        <v>1000</v>
      </c>
      <c r="AC26" s="18">
        <f t="shared" ref="AC26" si="15">ROUNDUP(AC25,-2)</f>
        <v>1000</v>
      </c>
      <c r="AD26" s="18">
        <f t="shared" ref="AD26" si="16">ROUNDUP(AD25,-2)</f>
        <v>600</v>
      </c>
      <c r="AE26" s="18">
        <f t="shared" ref="AE26" si="17">ROUNDUP(AE25,-2)</f>
        <v>0</v>
      </c>
      <c r="AF26" s="18">
        <f t="shared" ref="AF26" si="18">ROUNDUP(AF25,-2)</f>
        <v>0</v>
      </c>
      <c r="AG26" s="18">
        <f t="shared" ref="AG26" si="19">ROUNDUP(AG25,-2)</f>
        <v>0</v>
      </c>
      <c r="AH26" s="18">
        <f t="shared" ref="AH26" si="20">ROUNDUP(AH25,-2)</f>
        <v>1000</v>
      </c>
      <c r="AI26" s="18">
        <f>ROUNDUP(AI25,-2)</f>
        <v>0</v>
      </c>
      <c r="AJ26" s="18">
        <f t="shared" ref="AJ26" si="21">ROUNDUP(AJ25,-2)</f>
        <v>0</v>
      </c>
      <c r="AK26" s="18">
        <f t="shared" ref="AK26" si="22">ROUNDUP(AK25,-2)</f>
        <v>0</v>
      </c>
      <c r="AL26" s="18">
        <f t="shared" ref="AL26:AN26" si="23">ROUNDUP(AL25,-2)</f>
        <v>0</v>
      </c>
      <c r="AM26" s="18">
        <f t="shared" ref="AM26:AO26" si="24">ROUNDUP(AM25,-2)</f>
        <v>0</v>
      </c>
      <c r="AN26" s="18">
        <f t="shared" si="23"/>
        <v>800</v>
      </c>
      <c r="AO26" s="18">
        <f t="shared" si="24"/>
        <v>900</v>
      </c>
      <c r="AP26" s="18">
        <f t="shared" ref="AP26" si="25">ROUNDUP(AP25,-2)</f>
        <v>800</v>
      </c>
      <c r="AQ26" s="18"/>
      <c r="AR26" s="1"/>
      <c r="AS26" s="1"/>
      <c r="AT26" s="1"/>
      <c r="AU26" s="1" t="s">
        <v>57</v>
      </c>
      <c r="AV26" s="1">
        <f>SUM(G26:AQ26)</f>
        <v>17800</v>
      </c>
    </row>
  </sheetData>
  <mergeCells count="3">
    <mergeCell ref="A24:D24"/>
    <mergeCell ref="A25:D25"/>
    <mergeCell ref="A26:D26"/>
  </mergeCells>
  <phoneticPr fontId="1"/>
  <pageMargins left="0.15748031496062992" right="0.15748031496062992" top="0.74803149606299213" bottom="0.74803149606299213" header="0.23622047244094491" footer="0.31496062992125984"/>
  <pageSetup paperSize="9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4"/>
  <sheetViews>
    <sheetView workbookViewId="0">
      <selection activeCell="L43" sqref="L43"/>
    </sheetView>
  </sheetViews>
  <sheetFormatPr defaultRowHeight="13.5" x14ac:dyDescent="0.15"/>
  <cols>
    <col min="1" max="1" width="17.875" customWidth="1"/>
    <col min="2" max="2" width="0.75" customWidth="1"/>
    <col min="3" max="5" width="8.5" customWidth="1"/>
    <col min="6" max="17" width="8.125" customWidth="1"/>
    <col min="18" max="31" width="4.125" customWidth="1"/>
  </cols>
  <sheetData>
    <row r="1" spans="1:31" ht="12" customHeight="1" x14ac:dyDescent="0.15">
      <c r="A1" s="1"/>
      <c r="B1" s="11"/>
      <c r="C1" s="35" t="s">
        <v>9</v>
      </c>
      <c r="D1" s="35" t="s">
        <v>24</v>
      </c>
      <c r="E1" s="35" t="s">
        <v>58</v>
      </c>
      <c r="F1" s="35" t="s">
        <v>7</v>
      </c>
      <c r="G1" s="35" t="s">
        <v>10</v>
      </c>
      <c r="H1" s="35" t="s">
        <v>15</v>
      </c>
      <c r="I1" s="35" t="s">
        <v>16</v>
      </c>
      <c r="J1" s="35" t="s">
        <v>12</v>
      </c>
      <c r="K1" s="36" t="s">
        <v>14</v>
      </c>
      <c r="L1" s="35" t="s">
        <v>11</v>
      </c>
      <c r="M1" s="35" t="s">
        <v>59</v>
      </c>
      <c r="N1" s="35" t="s">
        <v>60</v>
      </c>
      <c r="O1" s="35"/>
      <c r="P1" s="36"/>
      <c r="Q1" s="25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</row>
    <row r="2" spans="1:31" ht="12" customHeight="1" x14ac:dyDescent="0.15">
      <c r="A2" s="1" t="s">
        <v>40</v>
      </c>
      <c r="B2" s="12"/>
      <c r="C2" s="22">
        <v>1</v>
      </c>
      <c r="D2" s="11"/>
      <c r="E2" s="11"/>
      <c r="F2" s="22">
        <v>1</v>
      </c>
      <c r="G2" s="22">
        <v>1</v>
      </c>
      <c r="H2" s="22">
        <v>1</v>
      </c>
      <c r="I2" s="22">
        <v>1</v>
      </c>
      <c r="J2" s="22">
        <v>1</v>
      </c>
      <c r="K2" s="22">
        <v>1</v>
      </c>
      <c r="L2" s="19">
        <v>2</v>
      </c>
      <c r="M2" s="11"/>
      <c r="N2" s="22">
        <v>1</v>
      </c>
      <c r="O2" s="22">
        <v>1</v>
      </c>
      <c r="P2" s="31">
        <v>1</v>
      </c>
      <c r="Q2" s="26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</row>
    <row r="3" spans="1:31" ht="12" customHeight="1" x14ac:dyDescent="0.15">
      <c r="A3" s="1" t="s">
        <v>0</v>
      </c>
      <c r="B3" s="12"/>
      <c r="C3" s="11"/>
      <c r="D3" s="11"/>
      <c r="E3" s="11"/>
      <c r="F3" s="11"/>
      <c r="G3" s="11"/>
      <c r="H3" s="22">
        <v>1</v>
      </c>
      <c r="I3" s="11"/>
      <c r="J3" s="11"/>
      <c r="K3" s="11"/>
      <c r="L3" s="11"/>
      <c r="M3" s="11"/>
      <c r="N3" s="11"/>
      <c r="O3" s="11"/>
      <c r="P3" s="31">
        <v>1</v>
      </c>
      <c r="Q3" s="26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</row>
    <row r="4" spans="1:31" ht="12" customHeight="1" x14ac:dyDescent="0.15">
      <c r="A4" s="1" t="s">
        <v>41</v>
      </c>
      <c r="B4" s="12"/>
      <c r="C4" s="22">
        <v>1</v>
      </c>
      <c r="D4" s="11"/>
      <c r="E4" s="11"/>
      <c r="F4" s="11"/>
      <c r="G4" s="11"/>
      <c r="H4" s="11"/>
      <c r="I4" s="11"/>
      <c r="J4" s="22">
        <v>1</v>
      </c>
      <c r="K4" s="11"/>
      <c r="L4" s="11"/>
      <c r="M4" s="11"/>
      <c r="N4" s="11"/>
      <c r="O4" s="11"/>
      <c r="P4" s="21"/>
      <c r="Q4" s="26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</row>
    <row r="5" spans="1:31" ht="12" customHeight="1" x14ac:dyDescent="0.15">
      <c r="A5" s="1" t="s">
        <v>42</v>
      </c>
      <c r="B5" s="12"/>
      <c r="C5" s="22">
        <v>1</v>
      </c>
      <c r="D5" s="11"/>
      <c r="E5" s="22">
        <v>1</v>
      </c>
      <c r="F5" s="11"/>
      <c r="G5" s="11"/>
      <c r="H5" s="22">
        <v>1</v>
      </c>
      <c r="I5" s="11"/>
      <c r="J5" s="11"/>
      <c r="K5" s="11"/>
      <c r="L5" s="11"/>
      <c r="M5" s="11"/>
      <c r="N5" s="11"/>
      <c r="O5" s="11"/>
      <c r="P5" s="21"/>
      <c r="Q5" s="26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</row>
    <row r="6" spans="1:31" ht="12" customHeight="1" x14ac:dyDescent="0.15">
      <c r="A6" s="1" t="s">
        <v>43</v>
      </c>
      <c r="B6" s="12"/>
      <c r="C6" s="22">
        <v>1</v>
      </c>
      <c r="D6" s="11"/>
      <c r="E6" s="11"/>
      <c r="F6" s="22">
        <v>1</v>
      </c>
      <c r="G6" s="22">
        <v>1</v>
      </c>
      <c r="H6" s="22">
        <v>1</v>
      </c>
      <c r="I6" s="22">
        <v>1</v>
      </c>
      <c r="J6" s="11"/>
      <c r="K6" s="22">
        <v>1</v>
      </c>
      <c r="L6" s="22">
        <v>1</v>
      </c>
      <c r="M6" s="11"/>
      <c r="N6" s="11"/>
      <c r="O6" s="22">
        <v>1</v>
      </c>
      <c r="P6" s="23">
        <v>2</v>
      </c>
      <c r="Q6" s="26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</row>
    <row r="7" spans="1:31" ht="12" customHeight="1" x14ac:dyDescent="0.15">
      <c r="A7" s="1" t="s">
        <v>44</v>
      </c>
      <c r="B7" s="12"/>
      <c r="C7" s="11"/>
      <c r="D7" s="11"/>
      <c r="E7" s="22">
        <v>1</v>
      </c>
      <c r="F7" s="11"/>
      <c r="G7" s="11"/>
      <c r="H7" s="11"/>
      <c r="I7" s="22">
        <v>1</v>
      </c>
      <c r="J7" s="22">
        <v>1</v>
      </c>
      <c r="K7" s="11"/>
      <c r="L7" s="11"/>
      <c r="M7" s="11"/>
      <c r="N7" s="22">
        <v>1</v>
      </c>
      <c r="O7" s="11"/>
      <c r="P7" s="21"/>
      <c r="Q7" s="26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</row>
    <row r="8" spans="1:31" ht="12" customHeight="1" x14ac:dyDescent="0.15">
      <c r="A8" s="1" t="s">
        <v>2</v>
      </c>
      <c r="B8" s="12"/>
      <c r="C8" s="11"/>
      <c r="D8" s="11"/>
      <c r="E8" s="11"/>
      <c r="F8" s="11"/>
      <c r="G8" s="22">
        <v>1</v>
      </c>
      <c r="H8" s="11"/>
      <c r="I8" s="22">
        <v>1</v>
      </c>
      <c r="J8" s="11"/>
      <c r="K8" s="11"/>
      <c r="L8" s="22">
        <v>1</v>
      </c>
      <c r="M8" s="11"/>
      <c r="N8" s="11"/>
      <c r="O8" s="22">
        <v>1</v>
      </c>
      <c r="P8" s="21"/>
      <c r="Q8" s="26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</row>
    <row r="9" spans="1:31" ht="12" customHeight="1" x14ac:dyDescent="0.15">
      <c r="A9" s="1" t="s">
        <v>45</v>
      </c>
      <c r="B9" s="12"/>
      <c r="C9" s="11"/>
      <c r="D9" s="11"/>
      <c r="E9" s="11"/>
      <c r="F9" s="22">
        <v>1</v>
      </c>
      <c r="G9" s="11"/>
      <c r="H9" s="11"/>
      <c r="I9" s="11"/>
      <c r="J9" s="11"/>
      <c r="K9" s="11"/>
      <c r="L9" s="11"/>
      <c r="M9" s="11"/>
      <c r="N9" s="11"/>
      <c r="O9" s="11"/>
      <c r="P9" s="21"/>
      <c r="Q9" s="26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</row>
    <row r="10" spans="1:31" ht="12" customHeight="1" x14ac:dyDescent="0.15">
      <c r="A10" s="1" t="s">
        <v>46</v>
      </c>
      <c r="B10" s="12"/>
      <c r="C10" s="11"/>
      <c r="D10" s="11"/>
      <c r="E10" s="11"/>
      <c r="F10" s="11"/>
      <c r="G10" s="11"/>
      <c r="H10" s="11"/>
      <c r="I10" s="22">
        <v>1</v>
      </c>
      <c r="J10" s="22">
        <v>1</v>
      </c>
      <c r="K10" s="11"/>
      <c r="L10" s="11"/>
      <c r="M10" s="11"/>
      <c r="N10" s="11"/>
      <c r="O10" s="11"/>
      <c r="P10" s="21"/>
      <c r="Q10" s="26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</row>
    <row r="11" spans="1:31" ht="12" customHeight="1" x14ac:dyDescent="0.15">
      <c r="A11" s="1" t="s">
        <v>3</v>
      </c>
      <c r="B11" s="12"/>
      <c r="C11" s="22">
        <v>1</v>
      </c>
      <c r="D11" s="11"/>
      <c r="E11" s="22">
        <v>1</v>
      </c>
      <c r="F11" s="11"/>
      <c r="G11" s="11"/>
      <c r="H11" s="22">
        <v>1</v>
      </c>
      <c r="I11" s="11"/>
      <c r="J11" s="11"/>
      <c r="K11" s="22">
        <v>1</v>
      </c>
      <c r="L11" s="11"/>
      <c r="M11" s="11"/>
      <c r="N11" s="11"/>
      <c r="O11" s="11"/>
      <c r="P11" s="23">
        <v>2</v>
      </c>
      <c r="Q11" s="26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</row>
    <row r="12" spans="1:31" ht="12" customHeight="1" x14ac:dyDescent="0.15">
      <c r="A12" s="1" t="s">
        <v>47</v>
      </c>
      <c r="B12" s="12"/>
      <c r="C12" s="11"/>
      <c r="D12" s="11"/>
      <c r="E12" s="11"/>
      <c r="F12" s="11"/>
      <c r="G12" s="11"/>
      <c r="H12" s="11"/>
      <c r="I12" s="22">
        <v>1</v>
      </c>
      <c r="J12" s="22">
        <v>1</v>
      </c>
      <c r="K12" s="22">
        <v>1</v>
      </c>
      <c r="L12" s="11"/>
      <c r="M12" s="11"/>
      <c r="N12" s="22">
        <v>1</v>
      </c>
      <c r="O12" s="11"/>
      <c r="P12" s="21"/>
      <c r="Q12" s="26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</row>
    <row r="13" spans="1:31" ht="12" customHeight="1" x14ac:dyDescent="0.15">
      <c r="A13" s="1" t="s">
        <v>48</v>
      </c>
      <c r="B13" s="12"/>
      <c r="C13" s="11"/>
      <c r="D13" s="11"/>
      <c r="E13" s="11"/>
      <c r="F13" s="11"/>
      <c r="G13" s="22">
        <v>1</v>
      </c>
      <c r="H13" s="11"/>
      <c r="I13" s="11"/>
      <c r="J13" s="22">
        <v>1</v>
      </c>
      <c r="K13" s="22">
        <v>1</v>
      </c>
      <c r="L13" s="22">
        <v>1</v>
      </c>
      <c r="M13" s="11"/>
      <c r="N13" s="11"/>
      <c r="O13" s="11"/>
      <c r="P13" s="21"/>
      <c r="Q13" s="26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</row>
    <row r="14" spans="1:31" ht="12" customHeight="1" x14ac:dyDescent="0.15">
      <c r="A14" s="1" t="s">
        <v>49</v>
      </c>
      <c r="B14" s="12"/>
      <c r="C14" s="11"/>
      <c r="D14" s="22">
        <v>1</v>
      </c>
      <c r="E14" s="11"/>
      <c r="F14" s="11"/>
      <c r="G14" s="22">
        <v>1</v>
      </c>
      <c r="H14" s="11"/>
      <c r="I14" s="22">
        <v>1</v>
      </c>
      <c r="J14" s="11"/>
      <c r="K14" s="11"/>
      <c r="L14" s="11"/>
      <c r="M14" s="11"/>
      <c r="N14" s="28"/>
      <c r="O14" s="11"/>
      <c r="P14" s="31">
        <v>1</v>
      </c>
      <c r="Q14" s="26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</row>
    <row r="15" spans="1:31" ht="12" customHeight="1" x14ac:dyDescent="0.15">
      <c r="A15" s="1" t="s">
        <v>50</v>
      </c>
      <c r="B15" s="12"/>
      <c r="C15" s="11"/>
      <c r="D15" s="11"/>
      <c r="E15" s="11"/>
      <c r="F15" s="11"/>
      <c r="G15" s="11"/>
      <c r="H15" s="11"/>
      <c r="I15" s="11"/>
      <c r="J15" s="22">
        <v>1</v>
      </c>
      <c r="K15" s="22">
        <v>1</v>
      </c>
      <c r="L15" s="22">
        <v>1</v>
      </c>
      <c r="M15" s="22">
        <v>1</v>
      </c>
      <c r="N15" s="22">
        <v>1</v>
      </c>
      <c r="O15" s="11"/>
      <c r="P15" s="21"/>
      <c r="Q15" s="26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</row>
    <row r="16" spans="1:31" ht="12" customHeight="1" x14ac:dyDescent="0.15">
      <c r="A16" s="1" t="s">
        <v>51</v>
      </c>
      <c r="B16" s="12"/>
      <c r="C16" s="22">
        <v>1</v>
      </c>
      <c r="D16" s="11"/>
      <c r="E16" s="22">
        <v>1</v>
      </c>
      <c r="F16" s="11"/>
      <c r="G16" s="22">
        <v>1</v>
      </c>
      <c r="H16" s="11"/>
      <c r="I16" s="11"/>
      <c r="J16" s="11"/>
      <c r="K16" s="11"/>
      <c r="L16" s="22">
        <v>1</v>
      </c>
      <c r="M16" s="19">
        <v>2</v>
      </c>
      <c r="N16" s="22">
        <v>1</v>
      </c>
      <c r="O16" s="19">
        <v>2</v>
      </c>
      <c r="P16" s="21"/>
      <c r="Q16" s="26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</row>
    <row r="17" spans="1:31" ht="12" customHeight="1" x14ac:dyDescent="0.15">
      <c r="A17" s="1" t="s">
        <v>4</v>
      </c>
      <c r="B17" s="12"/>
      <c r="C17" s="11"/>
      <c r="D17" s="11"/>
      <c r="E17" s="22">
        <v>1</v>
      </c>
      <c r="F17" s="11"/>
      <c r="G17" s="11"/>
      <c r="H17" s="11"/>
      <c r="I17" s="11"/>
      <c r="J17" s="11"/>
      <c r="K17" s="11"/>
      <c r="L17" s="11"/>
      <c r="M17" s="11"/>
      <c r="N17" s="22">
        <v>1</v>
      </c>
      <c r="O17" s="11"/>
      <c r="P17" s="21"/>
      <c r="Q17" s="26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</row>
    <row r="18" spans="1:31" ht="12" customHeight="1" x14ac:dyDescent="0.15">
      <c r="A18" s="1" t="s">
        <v>52</v>
      </c>
      <c r="B18" s="12"/>
      <c r="C18" s="22">
        <v>1</v>
      </c>
      <c r="D18" s="11"/>
      <c r="E18" s="11"/>
      <c r="F18" s="11"/>
      <c r="G18" s="22">
        <v>1</v>
      </c>
      <c r="H18" s="22">
        <v>1</v>
      </c>
      <c r="I18" s="22">
        <v>1</v>
      </c>
      <c r="J18" s="22">
        <v>1</v>
      </c>
      <c r="K18" s="22">
        <v>1</v>
      </c>
      <c r="L18" s="22">
        <v>1</v>
      </c>
      <c r="M18" s="22">
        <v>1</v>
      </c>
      <c r="N18" s="11"/>
      <c r="O18" s="22">
        <v>1</v>
      </c>
      <c r="P18" s="21"/>
      <c r="Q18" s="26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</row>
    <row r="19" spans="1:31" ht="12" customHeight="1" x14ac:dyDescent="0.15">
      <c r="A19" s="5" t="s">
        <v>1</v>
      </c>
      <c r="B19" s="12"/>
      <c r="C19" s="11"/>
      <c r="D19" s="11"/>
      <c r="E19" s="11"/>
      <c r="F19" s="34">
        <v>3</v>
      </c>
      <c r="G19" s="19">
        <v>2</v>
      </c>
      <c r="H19" s="11"/>
      <c r="I19" s="19">
        <v>2</v>
      </c>
      <c r="J19" s="11"/>
      <c r="K19" s="22">
        <v>1</v>
      </c>
      <c r="L19" s="19">
        <v>2</v>
      </c>
      <c r="M19" s="22">
        <v>1</v>
      </c>
      <c r="N19" s="19">
        <v>2</v>
      </c>
      <c r="O19" s="22">
        <v>1</v>
      </c>
      <c r="P19" s="23">
        <v>2</v>
      </c>
      <c r="Q19" s="26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</row>
    <row r="20" spans="1:31" ht="12" customHeight="1" x14ac:dyDescent="0.15">
      <c r="A20" s="1" t="s">
        <v>53</v>
      </c>
      <c r="B20" s="12"/>
      <c r="C20" s="22">
        <v>1</v>
      </c>
      <c r="D20" s="11"/>
      <c r="E20" s="11"/>
      <c r="F20" s="19">
        <v>2</v>
      </c>
      <c r="G20" s="11"/>
      <c r="H20" s="11"/>
      <c r="I20" s="11"/>
      <c r="J20" s="22">
        <v>1</v>
      </c>
      <c r="K20" s="22">
        <v>1</v>
      </c>
      <c r="L20" s="11"/>
      <c r="M20" s="11"/>
      <c r="N20" s="11"/>
      <c r="O20" s="11"/>
      <c r="P20" s="21"/>
      <c r="Q20" s="26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</row>
    <row r="21" spans="1:31" ht="12" customHeight="1" thickBot="1" x14ac:dyDescent="0.2">
      <c r="A21" s="4" t="s">
        <v>54</v>
      </c>
      <c r="B21" s="13"/>
      <c r="C21" s="32">
        <v>1</v>
      </c>
      <c r="D21" s="29"/>
      <c r="E21" s="29"/>
      <c r="F21" s="20">
        <v>2</v>
      </c>
      <c r="G21" s="32">
        <v>1</v>
      </c>
      <c r="H21" s="32">
        <v>1</v>
      </c>
      <c r="I21" s="29"/>
      <c r="J21" s="32">
        <v>1</v>
      </c>
      <c r="K21" s="32">
        <v>1</v>
      </c>
      <c r="L21" s="29"/>
      <c r="M21" s="29"/>
      <c r="N21" s="20">
        <v>2</v>
      </c>
      <c r="O21" s="29"/>
      <c r="P21" s="33">
        <v>1</v>
      </c>
      <c r="Q21" s="26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</row>
    <row r="22" spans="1:31" ht="12" customHeight="1" thickTop="1" x14ac:dyDescent="0.2"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</row>
    <row r="23" spans="1:31" ht="12" customHeight="1" x14ac:dyDescent="0.15">
      <c r="A23" s="1"/>
      <c r="B23" s="11"/>
      <c r="C23" s="37" t="s">
        <v>26</v>
      </c>
      <c r="D23" s="37" t="s">
        <v>27</v>
      </c>
      <c r="E23" s="37" t="s">
        <v>28</v>
      </c>
      <c r="F23" s="37" t="s">
        <v>29</v>
      </c>
      <c r="G23" s="37" t="s">
        <v>30</v>
      </c>
      <c r="H23" s="37" t="s">
        <v>31</v>
      </c>
      <c r="I23" s="37" t="s">
        <v>32</v>
      </c>
      <c r="J23" s="37" t="s">
        <v>33</v>
      </c>
      <c r="K23" s="37" t="s">
        <v>34</v>
      </c>
      <c r="L23" s="37" t="s">
        <v>35</v>
      </c>
      <c r="M23" s="37" t="s">
        <v>36</v>
      </c>
      <c r="N23" s="37" t="s">
        <v>37</v>
      </c>
      <c r="O23" s="37" t="s">
        <v>8</v>
      </c>
      <c r="P23" s="37" t="s">
        <v>38</v>
      </c>
      <c r="Q23" s="37" t="s">
        <v>39</v>
      </c>
    </row>
    <row r="24" spans="1:31" ht="12" customHeight="1" x14ac:dyDescent="0.15">
      <c r="A24" s="1" t="s">
        <v>40</v>
      </c>
      <c r="B24" s="12"/>
      <c r="C24" s="22">
        <v>1</v>
      </c>
      <c r="D24" s="22">
        <v>1</v>
      </c>
      <c r="E24" s="19">
        <v>2</v>
      </c>
      <c r="F24" s="22">
        <v>1</v>
      </c>
      <c r="G24" s="19">
        <v>2</v>
      </c>
      <c r="H24" s="22">
        <v>1</v>
      </c>
      <c r="I24" s="22">
        <v>1</v>
      </c>
      <c r="J24" s="22">
        <v>1</v>
      </c>
      <c r="K24" s="22">
        <v>1</v>
      </c>
      <c r="L24" s="22">
        <v>1</v>
      </c>
      <c r="M24" s="22">
        <v>1</v>
      </c>
      <c r="N24" s="22">
        <v>1</v>
      </c>
      <c r="O24" s="22">
        <v>1</v>
      </c>
      <c r="P24" s="22">
        <v>1</v>
      </c>
      <c r="Q24" s="11"/>
    </row>
    <row r="25" spans="1:31" ht="12" customHeight="1" x14ac:dyDescent="0.15">
      <c r="A25" s="1" t="s">
        <v>0</v>
      </c>
      <c r="B25" s="12"/>
      <c r="C25" s="22">
        <v>1</v>
      </c>
      <c r="D25" s="11"/>
      <c r="E25" s="22">
        <v>1</v>
      </c>
      <c r="F25" s="22">
        <v>1</v>
      </c>
      <c r="G25" s="11"/>
      <c r="H25" s="11"/>
      <c r="I25" s="11"/>
      <c r="J25" s="22">
        <v>1</v>
      </c>
      <c r="K25" s="11"/>
      <c r="L25" s="22">
        <v>1</v>
      </c>
      <c r="M25" s="11"/>
      <c r="N25" s="22">
        <v>1</v>
      </c>
      <c r="O25" s="11"/>
      <c r="P25" s="19">
        <v>2</v>
      </c>
      <c r="Q25" s="19">
        <v>2</v>
      </c>
    </row>
    <row r="26" spans="1:31" ht="12" customHeight="1" x14ac:dyDescent="0.15">
      <c r="A26" s="1" t="s">
        <v>41</v>
      </c>
      <c r="B26" s="12"/>
      <c r="C26" s="22">
        <v>1</v>
      </c>
      <c r="D26" s="11"/>
      <c r="E26" s="19">
        <v>2</v>
      </c>
      <c r="F26" s="22">
        <v>1</v>
      </c>
      <c r="G26" s="22">
        <v>1</v>
      </c>
      <c r="H26" s="11"/>
      <c r="I26" s="11"/>
      <c r="J26" s="22">
        <v>1</v>
      </c>
      <c r="K26" s="11"/>
      <c r="L26" s="11"/>
      <c r="M26" s="22">
        <v>1</v>
      </c>
      <c r="N26" s="22">
        <v>1</v>
      </c>
      <c r="O26" s="11"/>
      <c r="P26" s="22">
        <v>1</v>
      </c>
      <c r="Q26" s="22">
        <v>1</v>
      </c>
    </row>
    <row r="27" spans="1:31" ht="12" customHeight="1" x14ac:dyDescent="0.15">
      <c r="A27" s="1" t="s">
        <v>42</v>
      </c>
      <c r="B27" s="12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spans="1:31" ht="12" customHeight="1" x14ac:dyDescent="0.15">
      <c r="A28" s="1" t="s">
        <v>43</v>
      </c>
      <c r="B28" s="12"/>
      <c r="C28" s="22">
        <v>1</v>
      </c>
      <c r="D28" s="22">
        <v>1</v>
      </c>
      <c r="E28" s="11"/>
      <c r="F28" s="22">
        <v>1</v>
      </c>
      <c r="G28" s="22">
        <v>1</v>
      </c>
      <c r="H28" s="22">
        <v>1</v>
      </c>
      <c r="I28" s="22">
        <v>1</v>
      </c>
      <c r="J28" s="22">
        <v>1</v>
      </c>
      <c r="K28" s="22">
        <v>1</v>
      </c>
      <c r="L28" s="22">
        <v>1</v>
      </c>
      <c r="M28" s="19">
        <v>2</v>
      </c>
      <c r="N28" s="11"/>
      <c r="O28" s="11"/>
      <c r="P28" s="11"/>
      <c r="Q28" s="22">
        <v>1</v>
      </c>
    </row>
    <row r="29" spans="1:31" ht="12" customHeight="1" x14ac:dyDescent="0.15">
      <c r="A29" s="1" t="s">
        <v>44</v>
      </c>
      <c r="B29" s="12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22">
        <v>1</v>
      </c>
      <c r="O29" s="11"/>
      <c r="P29" s="22">
        <v>1</v>
      </c>
      <c r="Q29" s="11"/>
    </row>
    <row r="30" spans="1:31" ht="12" customHeight="1" x14ac:dyDescent="0.15">
      <c r="A30" s="1" t="s">
        <v>2</v>
      </c>
      <c r="B30" s="12"/>
      <c r="C30" s="11"/>
      <c r="D30" s="22">
        <v>1</v>
      </c>
      <c r="E30" s="22">
        <v>1</v>
      </c>
      <c r="F30" s="11"/>
      <c r="G30" s="11"/>
      <c r="H30" s="11"/>
      <c r="I30" s="11"/>
      <c r="J30" s="11"/>
      <c r="K30" s="11"/>
      <c r="L30" s="11"/>
      <c r="M30" s="22">
        <v>1</v>
      </c>
      <c r="N30" s="11"/>
      <c r="O30" s="11"/>
      <c r="P30" s="11"/>
      <c r="Q30" s="11"/>
    </row>
    <row r="31" spans="1:31" ht="12" customHeight="1" x14ac:dyDescent="0.15">
      <c r="A31" s="1" t="s">
        <v>45</v>
      </c>
      <c r="B31" s="12"/>
      <c r="C31" s="22">
        <v>1</v>
      </c>
      <c r="D31" s="11"/>
      <c r="E31" s="11"/>
      <c r="F31" s="11"/>
      <c r="G31" s="11"/>
      <c r="H31" s="11"/>
      <c r="I31" s="11"/>
      <c r="J31" s="11"/>
      <c r="K31" s="11"/>
      <c r="L31" s="22">
        <v>1</v>
      </c>
      <c r="M31" s="11"/>
      <c r="N31" s="11"/>
      <c r="O31" s="34">
        <v>3</v>
      </c>
      <c r="P31" s="11"/>
      <c r="Q31" s="11"/>
    </row>
    <row r="32" spans="1:31" ht="12" customHeight="1" x14ac:dyDescent="0.15">
      <c r="A32" s="1" t="s">
        <v>46</v>
      </c>
      <c r="B32" s="12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spans="1:17" ht="12" customHeight="1" x14ac:dyDescent="0.15">
      <c r="A33" s="1" t="s">
        <v>3</v>
      </c>
      <c r="B33" s="12"/>
      <c r="C33" s="11"/>
      <c r="D33" s="11"/>
      <c r="E33" s="11"/>
      <c r="F33" s="22">
        <v>1</v>
      </c>
      <c r="G33" s="11"/>
      <c r="H33" s="11"/>
      <c r="I33" s="11"/>
      <c r="J33" s="22">
        <v>1</v>
      </c>
      <c r="K33" s="11"/>
      <c r="L33" s="11"/>
      <c r="M33" s="22">
        <v>1</v>
      </c>
      <c r="N33" s="11"/>
      <c r="O33" s="11"/>
      <c r="P33" s="22">
        <v>1</v>
      </c>
      <c r="Q33" s="11"/>
    </row>
    <row r="34" spans="1:17" ht="12" customHeight="1" x14ac:dyDescent="0.15">
      <c r="A34" s="1" t="s">
        <v>47</v>
      </c>
      <c r="B34" s="12"/>
      <c r="C34" s="11"/>
      <c r="D34" s="22">
        <v>1</v>
      </c>
      <c r="E34" s="11"/>
      <c r="F34" s="11"/>
      <c r="G34" s="11"/>
      <c r="H34" s="11"/>
      <c r="I34" s="11"/>
      <c r="J34" s="11"/>
      <c r="K34" s="11"/>
      <c r="L34" s="22">
        <v>1</v>
      </c>
      <c r="M34" s="22">
        <v>1</v>
      </c>
      <c r="N34" s="22">
        <v>1</v>
      </c>
      <c r="O34" s="11"/>
      <c r="P34" s="11"/>
      <c r="Q34" s="11"/>
    </row>
    <row r="35" spans="1:17" ht="12" customHeight="1" x14ac:dyDescent="0.15">
      <c r="A35" s="1" t="s">
        <v>48</v>
      </c>
      <c r="B35" s="12"/>
      <c r="C35" s="11"/>
      <c r="D35" s="22">
        <v>1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spans="1:17" ht="12" customHeight="1" x14ac:dyDescent="0.15">
      <c r="A36" s="1" t="s">
        <v>49</v>
      </c>
      <c r="B36" s="12"/>
      <c r="C36" s="22">
        <v>1</v>
      </c>
      <c r="D36" s="11"/>
      <c r="E36" s="11"/>
      <c r="F36" s="11"/>
      <c r="G36" s="11"/>
      <c r="H36" s="22">
        <v>1</v>
      </c>
      <c r="I36" s="11"/>
      <c r="J36" s="22">
        <v>1</v>
      </c>
      <c r="K36" s="11"/>
      <c r="L36" s="22">
        <v>1</v>
      </c>
      <c r="M36" s="11"/>
      <c r="N36" s="22">
        <v>1</v>
      </c>
      <c r="O36" s="11"/>
      <c r="P36" s="22">
        <v>1</v>
      </c>
      <c r="Q36" s="11"/>
    </row>
    <row r="37" spans="1:17" ht="12" customHeight="1" x14ac:dyDescent="0.15">
      <c r="A37" s="1" t="s">
        <v>50</v>
      </c>
      <c r="B37" s="12"/>
      <c r="C37" s="11"/>
      <c r="D37" s="11"/>
      <c r="E37" s="22">
        <v>1</v>
      </c>
      <c r="F37" s="22">
        <v>1</v>
      </c>
      <c r="G37" s="11"/>
      <c r="H37" s="22">
        <v>1</v>
      </c>
      <c r="I37" s="11"/>
      <c r="J37" s="11"/>
      <c r="K37" s="11"/>
      <c r="L37" s="11"/>
      <c r="M37" s="22">
        <v>1</v>
      </c>
      <c r="N37" s="11"/>
      <c r="O37" s="11"/>
      <c r="P37" s="11"/>
      <c r="Q37" s="11"/>
    </row>
    <row r="38" spans="1:17" ht="12" customHeight="1" x14ac:dyDescent="0.15">
      <c r="A38" s="1" t="s">
        <v>51</v>
      </c>
      <c r="B38" s="12"/>
      <c r="C38" s="11"/>
      <c r="D38" s="22">
        <v>1</v>
      </c>
      <c r="E38" s="11"/>
      <c r="F38" s="11"/>
      <c r="G38" s="11"/>
      <c r="H38" s="19">
        <v>2</v>
      </c>
      <c r="I38" s="11"/>
      <c r="J38" s="11"/>
      <c r="K38" s="11"/>
      <c r="L38" s="22">
        <v>1</v>
      </c>
      <c r="M38" s="11"/>
      <c r="N38" s="22">
        <v>1</v>
      </c>
      <c r="O38" s="11"/>
      <c r="P38" s="11"/>
      <c r="Q38" s="11"/>
    </row>
    <row r="39" spans="1:17" ht="12" customHeight="1" x14ac:dyDescent="0.15">
      <c r="A39" s="1" t="s">
        <v>4</v>
      </c>
      <c r="B39" s="12"/>
      <c r="C39" s="11"/>
      <c r="D39" s="11"/>
      <c r="E39" s="11"/>
      <c r="F39" s="11"/>
      <c r="G39" s="22">
        <v>1</v>
      </c>
      <c r="H39" s="11"/>
      <c r="I39" s="11"/>
      <c r="J39" s="11"/>
      <c r="K39" s="11"/>
      <c r="L39" s="11"/>
      <c r="M39" s="22">
        <v>1</v>
      </c>
      <c r="N39" s="11"/>
      <c r="O39" s="11"/>
      <c r="P39" s="11"/>
      <c r="Q39" s="11"/>
    </row>
    <row r="40" spans="1:17" ht="12" customHeight="1" x14ac:dyDescent="0.15">
      <c r="A40" s="1" t="s">
        <v>52</v>
      </c>
      <c r="B40" s="12"/>
      <c r="C40" s="11"/>
      <c r="D40" s="22">
        <v>1</v>
      </c>
      <c r="E40" s="22">
        <v>1</v>
      </c>
      <c r="F40" s="22">
        <v>1</v>
      </c>
      <c r="G40" s="22">
        <v>1</v>
      </c>
      <c r="H40" s="22">
        <v>1</v>
      </c>
      <c r="I40" s="22">
        <v>1</v>
      </c>
      <c r="J40" s="22">
        <v>1</v>
      </c>
      <c r="K40" s="11"/>
      <c r="L40" s="22">
        <v>1</v>
      </c>
      <c r="M40" s="22">
        <v>1</v>
      </c>
      <c r="N40" s="11"/>
      <c r="O40" s="22">
        <v>1</v>
      </c>
      <c r="P40" s="22">
        <v>1</v>
      </c>
      <c r="Q40" s="22">
        <v>1</v>
      </c>
    </row>
    <row r="41" spans="1:17" ht="12" customHeight="1" x14ac:dyDescent="0.15">
      <c r="A41" s="5" t="s">
        <v>1</v>
      </c>
      <c r="B41" s="12"/>
      <c r="C41" s="19">
        <v>2</v>
      </c>
      <c r="D41" s="22">
        <v>1</v>
      </c>
      <c r="E41" s="19">
        <v>2</v>
      </c>
      <c r="F41" s="19">
        <v>2</v>
      </c>
      <c r="G41" s="34">
        <v>3</v>
      </c>
      <c r="H41" s="22">
        <v>1</v>
      </c>
      <c r="I41" s="22">
        <v>1</v>
      </c>
      <c r="J41" s="22">
        <v>1</v>
      </c>
      <c r="K41" s="11"/>
      <c r="L41" s="22">
        <v>1</v>
      </c>
      <c r="M41" s="11"/>
      <c r="N41" s="22">
        <v>1</v>
      </c>
      <c r="O41" s="11"/>
      <c r="P41" s="22">
        <v>1</v>
      </c>
      <c r="Q41" s="22">
        <v>1</v>
      </c>
    </row>
    <row r="42" spans="1:17" ht="12" customHeight="1" x14ac:dyDescent="0.15">
      <c r="A42" s="1" t="s">
        <v>53</v>
      </c>
      <c r="B42" s="12"/>
      <c r="C42" s="22">
        <v>1</v>
      </c>
      <c r="D42" s="22">
        <v>1</v>
      </c>
      <c r="E42" s="11"/>
      <c r="F42" s="11"/>
      <c r="G42" s="22">
        <v>1</v>
      </c>
      <c r="H42" s="22">
        <v>1</v>
      </c>
      <c r="I42" s="22">
        <v>1</v>
      </c>
      <c r="J42" s="22">
        <v>1</v>
      </c>
      <c r="K42" s="11"/>
      <c r="L42" s="11"/>
      <c r="M42" s="11"/>
      <c r="N42" s="22">
        <v>1</v>
      </c>
      <c r="O42" s="22">
        <v>1</v>
      </c>
      <c r="P42" s="11"/>
      <c r="Q42" s="11"/>
    </row>
    <row r="43" spans="1:17" ht="12" customHeight="1" thickBot="1" x14ac:dyDescent="0.2">
      <c r="A43" s="4" t="s">
        <v>54</v>
      </c>
      <c r="B43" s="13"/>
      <c r="C43" s="32">
        <v>1</v>
      </c>
      <c r="D43" s="32">
        <v>1</v>
      </c>
      <c r="E43" s="29"/>
      <c r="F43" s="32">
        <v>1</v>
      </c>
      <c r="G43" s="29"/>
      <c r="H43" s="32">
        <v>1</v>
      </c>
      <c r="I43" s="29"/>
      <c r="J43" s="32">
        <v>1</v>
      </c>
      <c r="K43" s="29"/>
      <c r="L43" s="32">
        <v>1</v>
      </c>
      <c r="M43" s="29"/>
      <c r="N43" s="32">
        <v>1</v>
      </c>
      <c r="O43" s="32">
        <v>1</v>
      </c>
      <c r="P43" s="32">
        <v>1</v>
      </c>
      <c r="Q43" s="32">
        <v>1</v>
      </c>
    </row>
    <row r="44" spans="1:17" ht="12" customHeight="1" thickTop="1" x14ac:dyDescent="0.15"/>
  </sheetData>
  <phoneticPr fontId="1"/>
  <pageMargins left="0.25" right="0.25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Kentoro</dc:creator>
  <cp:lastModifiedBy>yokoyama</cp:lastModifiedBy>
  <cp:lastPrinted>2016-09-02T09:15:27Z</cp:lastPrinted>
  <dcterms:created xsi:type="dcterms:W3CDTF">2014-09-03T06:17:34Z</dcterms:created>
  <dcterms:modified xsi:type="dcterms:W3CDTF">2016-09-05T11:42:26Z</dcterms:modified>
</cp:coreProperties>
</file>