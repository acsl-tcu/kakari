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15" windowWidth="15120" windowHeight="8475"/>
  </bookViews>
  <sheets>
    <sheet name="2016ディスプレイ配布" sheetId="4" r:id="rId1"/>
    <sheet name="配布シミュレーション" sheetId="3" r:id="rId2"/>
    <sheet name="Sheet1" sheetId="5" r:id="rId3"/>
  </sheets>
  <calcPr calcId="145621" concurrentCalc="0"/>
</workbook>
</file>

<file path=xl/calcChain.xml><?xml version="1.0" encoding="utf-8"?>
<calcChain xmlns="http://schemas.openxmlformats.org/spreadsheetml/2006/main">
  <c r="I51" i="3" l="1"/>
  <c r="I42" i="3"/>
  <c r="I43" i="3"/>
  <c r="B46" i="4"/>
  <c r="B49" i="4"/>
  <c r="B50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B48" i="3"/>
  <c r="B51" i="3"/>
  <c r="B5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</calcChain>
</file>

<file path=xl/sharedStrings.xml><?xml version="1.0" encoding="utf-8"?>
<sst xmlns="http://schemas.openxmlformats.org/spreadsheetml/2006/main" count="522" uniqueCount="177">
  <si>
    <t>ディスプレイ型番</t>
    <rPh sb="6" eb="8">
      <t>カタバン</t>
    </rPh>
    <phoneticPr fontId="1"/>
  </si>
  <si>
    <t>使用者名</t>
    <rPh sb="0" eb="3">
      <t>シヨウシャ</t>
    </rPh>
    <rPh sb="3" eb="4">
      <t>メイ</t>
    </rPh>
    <phoneticPr fontId="1"/>
  </si>
  <si>
    <t>備品番号</t>
    <rPh sb="0" eb="2">
      <t>ビヒン</t>
    </rPh>
    <rPh sb="2" eb="4">
      <t>バンゴウ</t>
    </rPh>
    <phoneticPr fontId="1"/>
  </si>
  <si>
    <t>インチ数</t>
    <rPh sb="3" eb="4">
      <t>スウ</t>
    </rPh>
    <phoneticPr fontId="1"/>
  </si>
  <si>
    <t>備考</t>
    <rPh sb="0" eb="2">
      <t>ビコウ</t>
    </rPh>
    <phoneticPr fontId="1"/>
  </si>
  <si>
    <t>横</t>
    <rPh sb="0" eb="1">
      <t>ヨコ</t>
    </rPh>
    <phoneticPr fontId="1"/>
  </si>
  <si>
    <t>縦</t>
    <rPh sb="0" eb="1">
      <t>タテ</t>
    </rPh>
    <phoneticPr fontId="1"/>
  </si>
  <si>
    <t>M05041105-0</t>
    <phoneticPr fontId="1"/>
  </si>
  <si>
    <t>解像度[pixel]</t>
    <rPh sb="0" eb="3">
      <t>カイゾウド</t>
    </rPh>
    <phoneticPr fontId="1"/>
  </si>
  <si>
    <t>伊藤（一）</t>
    <rPh sb="0" eb="2">
      <t>イトウ</t>
    </rPh>
    <rPh sb="3" eb="4">
      <t>イチ</t>
    </rPh>
    <phoneticPr fontId="1"/>
  </si>
  <si>
    <t>MISTUBISHI</t>
    <phoneticPr fontId="1"/>
  </si>
  <si>
    <t>RDT194S</t>
    <phoneticPr fontId="1"/>
  </si>
  <si>
    <t>DELL</t>
    <phoneticPr fontId="1"/>
  </si>
  <si>
    <t>SAMSUNG</t>
    <phoneticPr fontId="1"/>
  </si>
  <si>
    <t>iiyama</t>
    <phoneticPr fontId="1"/>
  </si>
  <si>
    <t>SyncMaster　B2230H/B2230HF</t>
    <phoneticPr fontId="1"/>
  </si>
  <si>
    <t>Diamondcrysta　RDT197S</t>
    <phoneticPr fontId="1"/>
  </si>
  <si>
    <t>メーカー</t>
    <phoneticPr fontId="1"/>
  </si>
  <si>
    <t>SAMSUNG</t>
  </si>
  <si>
    <t>SyncMaster  912T</t>
    <phoneticPr fontId="1"/>
  </si>
  <si>
    <t>渡部</t>
    <rPh sb="0" eb="2">
      <t>ワタベ</t>
    </rPh>
    <phoneticPr fontId="1"/>
  </si>
  <si>
    <t>対角長さ[cm]</t>
    <rPh sb="0" eb="2">
      <t>タイカク</t>
    </rPh>
    <rPh sb="2" eb="3">
      <t>ナガ</t>
    </rPh>
    <phoneticPr fontId="1"/>
  </si>
  <si>
    <t>Diamondcrysta　RDT222WLM</t>
    <phoneticPr fontId="1"/>
  </si>
  <si>
    <t>王</t>
    <rPh sb="0" eb="1">
      <t>オウ</t>
    </rPh>
    <phoneticPr fontId="1"/>
  </si>
  <si>
    <t>DELL</t>
  </si>
  <si>
    <t>ST2220L</t>
    <phoneticPr fontId="1"/>
  </si>
  <si>
    <t>深石</t>
    <rPh sb="0" eb="2">
      <t>フカイシ</t>
    </rPh>
    <phoneticPr fontId="1"/>
  </si>
  <si>
    <t>ボタンがタッチ式</t>
    <rPh sb="7" eb="8">
      <t>シキ</t>
    </rPh>
    <phoneticPr fontId="1"/>
  </si>
  <si>
    <t>E171FPb</t>
    <phoneticPr fontId="1"/>
  </si>
  <si>
    <t>E198FP</t>
    <phoneticPr fontId="1"/>
  </si>
  <si>
    <t>iiyama</t>
  </si>
  <si>
    <t>ProLite X2775HDS</t>
    <phoneticPr fontId="1"/>
  </si>
  <si>
    <t>SE197FP</t>
    <phoneticPr fontId="1"/>
  </si>
  <si>
    <t>E157FP</t>
    <phoneticPr fontId="1"/>
  </si>
  <si>
    <t>1908FP</t>
    <phoneticPr fontId="1"/>
  </si>
  <si>
    <t>E173FP</t>
    <phoneticPr fontId="1"/>
  </si>
  <si>
    <t>浦山</t>
    <rPh sb="0" eb="2">
      <t>ウラヤマ</t>
    </rPh>
    <phoneticPr fontId="1"/>
  </si>
  <si>
    <t>P2210</t>
  </si>
  <si>
    <t>P2210</t>
    <phoneticPr fontId="1"/>
  </si>
  <si>
    <t>VGA,DVI,DisplayPort</t>
    <phoneticPr fontId="1"/>
  </si>
  <si>
    <t>RDT191VM</t>
    <phoneticPr fontId="1"/>
  </si>
  <si>
    <t>I-O DATA</t>
  </si>
  <si>
    <t>LCD-A172F</t>
  </si>
  <si>
    <t>E2311H</t>
  </si>
  <si>
    <t>E2210</t>
  </si>
  <si>
    <t>PL2773H</t>
  </si>
  <si>
    <t>E228WFP</t>
  </si>
  <si>
    <t>萩森</t>
    <rPh sb="0" eb="2">
      <t>ハギモリ</t>
    </rPh>
    <phoneticPr fontId="1"/>
  </si>
  <si>
    <t>U2711</t>
  </si>
  <si>
    <t>フィールド（電気スイッチ横）</t>
    <rPh sb="6" eb="8">
      <t>デンキ</t>
    </rPh>
    <rPh sb="12" eb="13">
      <t>ヨコ</t>
    </rPh>
    <phoneticPr fontId="1"/>
  </si>
  <si>
    <t>E2009W</t>
  </si>
  <si>
    <t>フィールド（7横）</t>
    <rPh sb="7" eb="8">
      <t>ヨコ</t>
    </rPh>
    <phoneticPr fontId="1"/>
  </si>
  <si>
    <t>1909W</t>
  </si>
  <si>
    <t>フィールド（7縦）</t>
    <rPh sb="7" eb="8">
      <t>タテ</t>
    </rPh>
    <phoneticPr fontId="1"/>
  </si>
  <si>
    <t>フィールド（角、横）</t>
    <rPh sb="6" eb="7">
      <t>カド</t>
    </rPh>
    <rPh sb="8" eb="9">
      <t>ヨコ</t>
    </rPh>
    <phoneticPr fontId="1"/>
  </si>
  <si>
    <t>フィールド（角、縦）</t>
    <rPh sb="6" eb="7">
      <t>カド</t>
    </rPh>
    <rPh sb="8" eb="9">
      <t>タテ</t>
    </rPh>
    <phoneticPr fontId="1"/>
  </si>
  <si>
    <t>E1709W</t>
  </si>
  <si>
    <t>柳井</t>
    <rPh sb="0" eb="1">
      <t>ヤナギ</t>
    </rPh>
    <rPh sb="1" eb="2">
      <t>イ</t>
    </rPh>
    <phoneticPr fontId="1"/>
  </si>
  <si>
    <t>PL2773HD</t>
  </si>
  <si>
    <t>小田</t>
    <rPh sb="0" eb="2">
      <t>オダ</t>
    </rPh>
    <phoneticPr fontId="1"/>
  </si>
  <si>
    <t>2001FP</t>
  </si>
  <si>
    <t>端子</t>
    <rPh sb="0" eb="2">
      <t>タンシ</t>
    </rPh>
    <phoneticPr fontId="1"/>
  </si>
  <si>
    <t>VGA</t>
    <phoneticPr fontId="1"/>
  </si>
  <si>
    <t>VGA,DVI</t>
    <phoneticPr fontId="1"/>
  </si>
  <si>
    <t>VGA,DVI</t>
    <phoneticPr fontId="1"/>
  </si>
  <si>
    <t>VGA,DVI,HDMI</t>
    <phoneticPr fontId="1"/>
  </si>
  <si>
    <t>VGA,DVI×2,HDMI</t>
    <phoneticPr fontId="1"/>
  </si>
  <si>
    <t>光沢液晶</t>
    <rPh sb="0" eb="2">
      <t>コウタク</t>
    </rPh>
    <rPh sb="2" eb="4">
      <t>エキショウ</t>
    </rPh>
    <phoneticPr fontId="1"/>
  </si>
  <si>
    <t>ピボット機能あり　高さ調節可能だが下がりやすい</t>
    <rPh sb="4" eb="6">
      <t>キノウ</t>
    </rPh>
    <rPh sb="9" eb="10">
      <t>タカ</t>
    </rPh>
    <rPh sb="11" eb="13">
      <t>チョウセツ</t>
    </rPh>
    <rPh sb="13" eb="15">
      <t>カノウ</t>
    </rPh>
    <rPh sb="17" eb="18">
      <t>サ</t>
    </rPh>
    <phoneticPr fontId="1"/>
  </si>
  <si>
    <t>ピボット機能あり</t>
    <rPh sb="4" eb="6">
      <t>キノウ</t>
    </rPh>
    <phoneticPr fontId="1"/>
  </si>
  <si>
    <t>右側に縦線が一本入る時がある</t>
    <rPh sb="0" eb="2">
      <t>ミギガワ</t>
    </rPh>
    <rPh sb="3" eb="5">
      <t>タテセン</t>
    </rPh>
    <rPh sb="6" eb="8">
      <t>イッポン</t>
    </rPh>
    <rPh sb="8" eb="9">
      <t>ハイ</t>
    </rPh>
    <rPh sb="10" eb="11">
      <t>トキ</t>
    </rPh>
    <phoneticPr fontId="1"/>
  </si>
  <si>
    <t>応用実験用</t>
    <rPh sb="0" eb="2">
      <t>オウヨウ</t>
    </rPh>
    <rPh sb="2" eb="5">
      <t>ジッケンヨウ</t>
    </rPh>
    <phoneticPr fontId="1"/>
  </si>
  <si>
    <t>季節により縦線が入る</t>
    <rPh sb="0" eb="2">
      <t>キセツ</t>
    </rPh>
    <rPh sb="5" eb="7">
      <t>タテセン</t>
    </rPh>
    <rPh sb="8" eb="9">
      <t>ハイ</t>
    </rPh>
    <phoneticPr fontId="1"/>
  </si>
  <si>
    <t>伊藤(雅)</t>
    <rPh sb="0" eb="2">
      <t>イトウ</t>
    </rPh>
    <rPh sb="3" eb="4">
      <t>マサ</t>
    </rPh>
    <phoneticPr fontId="1"/>
  </si>
  <si>
    <t>光沢液晶　電源ボタン取れかけ</t>
    <rPh sb="0" eb="2">
      <t>コウタク</t>
    </rPh>
    <rPh sb="2" eb="4">
      <t>エキショウ</t>
    </rPh>
    <rPh sb="5" eb="7">
      <t>デンゲン</t>
    </rPh>
    <rPh sb="10" eb="11">
      <t>ト</t>
    </rPh>
    <phoneticPr fontId="1"/>
  </si>
  <si>
    <t>ディスプレイ数</t>
    <rPh sb="6" eb="7">
      <t>スウ</t>
    </rPh>
    <phoneticPr fontId="1"/>
  </si>
  <si>
    <t>人数</t>
    <rPh sb="0" eb="2">
      <t>ニンズウ</t>
    </rPh>
    <phoneticPr fontId="1"/>
  </si>
  <si>
    <t>デュアルディスプレイ可能人数</t>
    <rPh sb="10" eb="12">
      <t>カノウ</t>
    </rPh>
    <rPh sb="12" eb="14">
      <t>ニンズウ</t>
    </rPh>
    <phoneticPr fontId="1"/>
  </si>
  <si>
    <t>●</t>
    <phoneticPr fontId="1"/>
  </si>
  <si>
    <t>伊藤(大)</t>
    <rPh sb="0" eb="2">
      <t>イトウ</t>
    </rPh>
    <rPh sb="3" eb="4">
      <t>ダイ</t>
    </rPh>
    <phoneticPr fontId="1"/>
  </si>
  <si>
    <t>小泉</t>
    <rPh sb="0" eb="2">
      <t>コイズミ</t>
    </rPh>
    <phoneticPr fontId="1"/>
  </si>
  <si>
    <t>斉藤</t>
    <rPh sb="0" eb="2">
      <t>サイトウ</t>
    </rPh>
    <phoneticPr fontId="1"/>
  </si>
  <si>
    <t>新使用者名</t>
    <rPh sb="0" eb="1">
      <t>シン</t>
    </rPh>
    <rPh sb="1" eb="4">
      <t>シヨウシャ</t>
    </rPh>
    <rPh sb="4" eb="5">
      <t>メイ</t>
    </rPh>
    <phoneticPr fontId="1"/>
  </si>
  <si>
    <t>実験用PC</t>
    <rPh sb="0" eb="3">
      <t>ジッケンヨウ</t>
    </rPh>
    <phoneticPr fontId="1"/>
  </si>
  <si>
    <t>変更希望者</t>
    <rPh sb="0" eb="2">
      <t>ヘンコウ</t>
    </rPh>
    <rPh sb="2" eb="4">
      <t>キボウ</t>
    </rPh>
    <rPh sb="4" eb="5">
      <t>シャ</t>
    </rPh>
    <phoneticPr fontId="1"/>
  </si>
  <si>
    <t>西尾</t>
    <rPh sb="0" eb="2">
      <t>ニシオ</t>
    </rPh>
    <phoneticPr fontId="1"/>
  </si>
  <si>
    <t>吉川</t>
    <rPh sb="0" eb="2">
      <t>ヨシカワ</t>
    </rPh>
    <phoneticPr fontId="1"/>
  </si>
  <si>
    <t>阿部</t>
    <rPh sb="0" eb="2">
      <t>アベ</t>
    </rPh>
    <phoneticPr fontId="1"/>
  </si>
  <si>
    <t>遠藤</t>
    <rPh sb="0" eb="2">
      <t>エンドウ</t>
    </rPh>
    <phoneticPr fontId="1"/>
  </si>
  <si>
    <t>分厚い, 昔権田が使ってたやつ</t>
    <rPh sb="0" eb="2">
      <t>ブアツ</t>
    </rPh>
    <rPh sb="5" eb="6">
      <t>ムカシ</t>
    </rPh>
    <rPh sb="6" eb="8">
      <t>ゴンダ</t>
    </rPh>
    <rPh sb="9" eb="10">
      <t>ツカ</t>
    </rPh>
    <phoneticPr fontId="1"/>
  </si>
  <si>
    <t>I-O DATA</t>
    <phoneticPr fontId="1"/>
  </si>
  <si>
    <t>小田さん抜き</t>
    <rPh sb="0" eb="2">
      <t>オダ</t>
    </rPh>
    <rPh sb="4" eb="5">
      <t>ヌ</t>
    </rPh>
    <phoneticPr fontId="1"/>
  </si>
  <si>
    <t>押切</t>
    <rPh sb="0" eb="2">
      <t>オシキリ</t>
    </rPh>
    <phoneticPr fontId="1"/>
  </si>
  <si>
    <t>下平</t>
    <rPh sb="0" eb="1">
      <t>シモ</t>
    </rPh>
    <rPh sb="1" eb="2">
      <t>タイラ</t>
    </rPh>
    <phoneticPr fontId="1"/>
  </si>
  <si>
    <t>須山</t>
    <rPh sb="0" eb="2">
      <t>スヤマ</t>
    </rPh>
    <phoneticPr fontId="1"/>
  </si>
  <si>
    <t>相馬</t>
    <rPh sb="0" eb="2">
      <t>ソウマ</t>
    </rPh>
    <phoneticPr fontId="1"/>
  </si>
  <si>
    <t>篠原</t>
    <rPh sb="0" eb="2">
      <t>シノハラ</t>
    </rPh>
    <phoneticPr fontId="1"/>
  </si>
  <si>
    <t>小川</t>
    <rPh sb="0" eb="2">
      <t>オガワ</t>
    </rPh>
    <phoneticPr fontId="1"/>
  </si>
  <si>
    <t>山本</t>
    <rPh sb="0" eb="2">
      <t>ヤマモト</t>
    </rPh>
    <phoneticPr fontId="1"/>
  </si>
  <si>
    <t>秋山</t>
    <rPh sb="0" eb="2">
      <t>アキヤマ</t>
    </rPh>
    <phoneticPr fontId="1"/>
  </si>
  <si>
    <t>山下</t>
    <rPh sb="0" eb="2">
      <t>ヤマシタ</t>
    </rPh>
    <phoneticPr fontId="1"/>
  </si>
  <si>
    <t>三瓶</t>
    <rPh sb="0" eb="2">
      <t>サンペイ</t>
    </rPh>
    <phoneticPr fontId="1"/>
  </si>
  <si>
    <t>栄田</t>
    <rPh sb="0" eb="2">
      <t>サカエタ</t>
    </rPh>
    <phoneticPr fontId="1"/>
  </si>
  <si>
    <t>鈴木</t>
    <rPh sb="0" eb="2">
      <t>スズキ</t>
    </rPh>
    <phoneticPr fontId="1"/>
  </si>
  <si>
    <t>高橋</t>
    <rPh sb="0" eb="2">
      <t>タカハシ</t>
    </rPh>
    <phoneticPr fontId="1"/>
  </si>
  <si>
    <t>國松</t>
    <rPh sb="0" eb="2">
      <t>クニマツ</t>
    </rPh>
    <phoneticPr fontId="1"/>
  </si>
  <si>
    <t>実験用</t>
    <rPh sb="0" eb="2">
      <t>ジッケン</t>
    </rPh>
    <rPh sb="2" eb="3">
      <t>ヨウ</t>
    </rPh>
    <phoneticPr fontId="1"/>
  </si>
  <si>
    <t>LCD-TV192CBR</t>
    <phoneticPr fontId="1"/>
  </si>
  <si>
    <t>LCD-AD242EB</t>
    <phoneticPr fontId="1"/>
  </si>
  <si>
    <t>SE197FPS</t>
    <phoneticPr fontId="1"/>
  </si>
  <si>
    <t>PL2471HSD</t>
    <phoneticPr fontId="1"/>
  </si>
  <si>
    <t>Prolite X436S-BOS</t>
    <phoneticPr fontId="1"/>
  </si>
  <si>
    <t>SyncMaster　912T</t>
    <phoneticPr fontId="1"/>
  </si>
  <si>
    <t>M0031285-0</t>
    <phoneticPr fontId="1"/>
  </si>
  <si>
    <t>油圧（4階シャベル横）</t>
    <rPh sb="0" eb="2">
      <t>ユアツ</t>
    </rPh>
    <phoneticPr fontId="1"/>
  </si>
  <si>
    <t>実験用PC(フィールド＋油圧)</t>
    <rPh sb="0" eb="3">
      <t>ジッケンヨウ</t>
    </rPh>
    <rPh sb="12" eb="14">
      <t>ユアツ</t>
    </rPh>
    <phoneticPr fontId="1"/>
  </si>
  <si>
    <t>プラス高橋さんだと34</t>
    <phoneticPr fontId="1"/>
  </si>
  <si>
    <t>戸松</t>
    <rPh sb="0" eb="2">
      <t>トマツ</t>
    </rPh>
    <phoneticPr fontId="1"/>
  </si>
  <si>
    <t>吉川</t>
  </si>
  <si>
    <t>今の応用実験用のディスプレイを譲渡するため</t>
  </si>
  <si>
    <t>西尾</t>
  </si>
  <si>
    <t>可能であれば20インチ以上のものが欲しい</t>
  </si>
  <si>
    <t>斉藤</t>
  </si>
  <si>
    <t>山本</t>
  </si>
  <si>
    <t>可能であれば23型以上のものが欲しい</t>
  </si>
  <si>
    <t>伊藤(雅)</t>
  </si>
  <si>
    <t>ピボット機能付きのワイド液晶希望</t>
  </si>
  <si>
    <t>相馬</t>
  </si>
  <si>
    <t>遠藤</t>
  </si>
  <si>
    <t>秋山</t>
  </si>
  <si>
    <t>渡部先輩のディスプレイがほしい</t>
  </si>
  <si>
    <t>戸松</t>
  </si>
  <si>
    <t>小泉</t>
  </si>
  <si>
    <t>変更希望者</t>
    <rPh sb="0" eb="2">
      <t>ヘンコウ</t>
    </rPh>
    <rPh sb="2" eb="4">
      <t>キボウ</t>
    </rPh>
    <rPh sb="4" eb="5">
      <t>シャ</t>
    </rPh>
    <phoneticPr fontId="1"/>
  </si>
  <si>
    <t>20インチ以上</t>
    <rPh sb="5" eb="7">
      <t>イジョウ</t>
    </rPh>
    <phoneticPr fontId="1"/>
  </si>
  <si>
    <t>残り</t>
    <rPh sb="0" eb="1">
      <t>ノコ</t>
    </rPh>
    <phoneticPr fontId="1"/>
  </si>
  <si>
    <t>須山も入れると</t>
    <rPh sb="0" eb="2">
      <t>スヤマ</t>
    </rPh>
    <rPh sb="3" eb="4">
      <t>イ</t>
    </rPh>
    <phoneticPr fontId="1"/>
  </si>
  <si>
    <t>M2希望者</t>
    <rPh sb="2" eb="5">
      <t>キボウシャ</t>
    </rPh>
    <phoneticPr fontId="1"/>
  </si>
  <si>
    <t>M2希望者を除いた20インチ以上のディスプレイの残り</t>
    <rPh sb="2" eb="5">
      <t>キボウシャ</t>
    </rPh>
    <rPh sb="6" eb="7">
      <t>ノゾ</t>
    </rPh>
    <rPh sb="14" eb="16">
      <t>イジョウ</t>
    </rPh>
    <rPh sb="24" eb="25">
      <t>ノコ</t>
    </rPh>
    <phoneticPr fontId="1"/>
  </si>
  <si>
    <t>新しいディスプレイ</t>
    <rPh sb="0" eb="1">
      <t>アタラ</t>
    </rPh>
    <phoneticPr fontId="1"/>
  </si>
  <si>
    <t>髙橋</t>
    <rPh sb="0" eb="2">
      <t>タカハシ</t>
    </rPh>
    <phoneticPr fontId="1"/>
  </si>
  <si>
    <t>高橋（直）</t>
    <rPh sb="0" eb="2">
      <t>タカハシ</t>
    </rPh>
    <rPh sb="3" eb="4">
      <t>ナオ</t>
    </rPh>
    <phoneticPr fontId="1"/>
  </si>
  <si>
    <t>‐</t>
    <phoneticPr fontId="1"/>
  </si>
  <si>
    <t>xxx</t>
    <phoneticPr fontId="1"/>
  </si>
  <si>
    <t>荒牧</t>
    <phoneticPr fontId="1"/>
  </si>
  <si>
    <t>伊藤</t>
    <phoneticPr fontId="1"/>
  </si>
  <si>
    <t>岡野</t>
    <phoneticPr fontId="1"/>
  </si>
  <si>
    <t>木榑</t>
    <phoneticPr fontId="1"/>
  </si>
  <si>
    <t>柴田</t>
    <phoneticPr fontId="1"/>
  </si>
  <si>
    <t>津野</t>
    <phoneticPr fontId="1"/>
  </si>
  <si>
    <t>冨澤</t>
    <phoneticPr fontId="1"/>
  </si>
  <si>
    <t>成勢</t>
    <phoneticPr fontId="1"/>
  </si>
  <si>
    <t>日浦</t>
    <phoneticPr fontId="1"/>
  </si>
  <si>
    <t>松島</t>
    <phoneticPr fontId="1"/>
  </si>
  <si>
    <t>森廣</t>
    <phoneticPr fontId="1"/>
  </si>
  <si>
    <t>山田</t>
    <phoneticPr fontId="1"/>
  </si>
  <si>
    <t>横山</t>
    <phoneticPr fontId="1"/>
  </si>
  <si>
    <t>吉村</t>
    <phoneticPr fontId="1"/>
  </si>
  <si>
    <t>B4</t>
    <phoneticPr fontId="1"/>
  </si>
  <si>
    <t>11？</t>
    <phoneticPr fontId="1"/>
  </si>
  <si>
    <t>西尾</t>
    <rPh sb="0" eb="2">
      <t>ニシオ</t>
    </rPh>
    <phoneticPr fontId="1"/>
  </si>
  <si>
    <t>小泉</t>
    <rPh sb="0" eb="2">
      <t>コイズミ</t>
    </rPh>
    <phoneticPr fontId="1"/>
  </si>
  <si>
    <t>戸松/秋山</t>
    <rPh sb="0" eb="2">
      <t>トマツ</t>
    </rPh>
    <rPh sb="3" eb="5">
      <t>アキヤマ</t>
    </rPh>
    <phoneticPr fontId="1"/>
  </si>
  <si>
    <t>山本</t>
    <rPh sb="0" eb="2">
      <t>ヤマモト</t>
    </rPh>
    <phoneticPr fontId="1"/>
  </si>
  <si>
    <t>遠藤</t>
    <rPh sb="0" eb="2">
      <t>エンドウ</t>
    </rPh>
    <phoneticPr fontId="1"/>
  </si>
  <si>
    <t>※</t>
    <phoneticPr fontId="1"/>
  </si>
  <si>
    <t>吉川</t>
    <rPh sb="0" eb="2">
      <t>ヨシカワ</t>
    </rPh>
    <phoneticPr fontId="1"/>
  </si>
  <si>
    <t>相馬</t>
    <rPh sb="0" eb="2">
      <t>ソウマ</t>
    </rPh>
    <phoneticPr fontId="1"/>
  </si>
  <si>
    <t>柴田</t>
    <rPh sb="0" eb="2">
      <t>シバタ</t>
    </rPh>
    <phoneticPr fontId="1"/>
  </si>
  <si>
    <t>日浦</t>
    <rPh sb="0" eb="2">
      <t>ヒウラ</t>
    </rPh>
    <phoneticPr fontId="1"/>
  </si>
  <si>
    <t>横山</t>
    <rPh sb="0" eb="2">
      <t>ヨコヤマ</t>
    </rPh>
    <phoneticPr fontId="1"/>
  </si>
  <si>
    <t>DELL</t>
    <phoneticPr fontId="1"/>
  </si>
  <si>
    <t>ピポット機能あり/高さ調節可能</t>
    <rPh sb="4" eb="6">
      <t>キノウ</t>
    </rPh>
    <rPh sb="9" eb="10">
      <t>タカ</t>
    </rPh>
    <rPh sb="11" eb="13">
      <t>チョウセツ</t>
    </rPh>
    <rPh sb="13" eb="15">
      <t>カノウ</t>
    </rPh>
    <phoneticPr fontId="1"/>
  </si>
  <si>
    <t>VGA,DVI,DP</t>
    <phoneticPr fontId="1"/>
  </si>
  <si>
    <t>P2314H</t>
    <phoneticPr fontId="1"/>
  </si>
  <si>
    <t>須山</t>
    <rPh sb="0" eb="2">
      <t>スヤマ</t>
    </rPh>
    <phoneticPr fontId="1"/>
  </si>
  <si>
    <t>篠原</t>
    <rPh sb="0" eb="2">
      <t>シノハラ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</si>
</sst>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6" borderId="4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3" fillId="5" borderId="1" xfId="2" applyBorder="1">
      <alignment vertical="center"/>
    </xf>
    <xf numFmtId="0" fontId="3" fillId="5" borderId="1" xfId="2" applyBorder="1" applyAlignment="1">
      <alignment horizontal="center" vertical="center"/>
    </xf>
    <xf numFmtId="176" fontId="3" fillId="5" borderId="1" xfId="2" applyNumberFormat="1" applyBorder="1" applyAlignment="1">
      <alignment horizontal="center" vertical="center"/>
    </xf>
    <xf numFmtId="0" fontId="3" fillId="5" borderId="2" xfId="2" applyBorder="1" applyAlignment="1">
      <alignment horizontal="center" vertical="center"/>
    </xf>
    <xf numFmtId="0" fontId="3" fillId="5" borderId="0" xfId="2">
      <alignment vertical="center"/>
    </xf>
    <xf numFmtId="0" fontId="2" fillId="4" borderId="3" xfId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4" fillId="7" borderId="1" xfId="4" applyNumberFormat="1" applyBorder="1" applyAlignment="1">
      <alignment horizontal="center" vertical="center"/>
    </xf>
    <xf numFmtId="0" fontId="0" fillId="6" borderId="4" xfId="3" applyFont="1">
      <alignment vertical="center"/>
    </xf>
    <xf numFmtId="0" fontId="0" fillId="0" borderId="0" xfId="0" applyFill="1" applyBorder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</cellXfs>
  <cellStyles count="5">
    <cellStyle name="40% - アクセント 2" xfId="1" builtinId="35"/>
    <cellStyle name="アクセント 5" xfId="4" builtinId="45"/>
    <cellStyle name="メモ" xfId="3" builtinId="10"/>
    <cellStyle name="標準" xfId="0" builtinId="0"/>
    <cellStyle name="良い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0"/>
  <sheetViews>
    <sheetView tabSelected="1" zoomScaleNormal="100" workbookViewId="0">
      <selection activeCell="C4" sqref="C4"/>
    </sheetView>
  </sheetViews>
  <sheetFormatPr defaultRowHeight="13.5" x14ac:dyDescent="0.15"/>
  <cols>
    <col min="1" max="1" width="14" style="1" customWidth="1"/>
    <col min="2" max="2" width="32" style="1" customWidth="1"/>
    <col min="3" max="3" width="24.5" style="1" bestFit="1" customWidth="1"/>
    <col min="4" max="4" width="9.5" style="1" bestFit="1" customWidth="1"/>
    <col min="5" max="5" width="15.375" style="1" customWidth="1"/>
    <col min="6" max="7" width="9" style="1"/>
    <col min="8" max="8" width="13.625" style="1" bestFit="1" customWidth="1"/>
    <col min="9" max="9" width="9" style="1"/>
    <col min="10" max="10" width="18.375" style="1" bestFit="1" customWidth="1"/>
    <col min="11" max="11" width="43.875" style="1" bestFit="1" customWidth="1"/>
    <col min="12" max="16384" width="9" style="1"/>
  </cols>
  <sheetData>
    <row r="2" spans="1:12" x14ac:dyDescent="0.15">
      <c r="A2" s="37" t="s">
        <v>17</v>
      </c>
      <c r="B2" s="37" t="s">
        <v>0</v>
      </c>
      <c r="C2" s="37" t="s">
        <v>82</v>
      </c>
      <c r="D2" s="37" t="s">
        <v>1</v>
      </c>
      <c r="E2" s="37" t="s">
        <v>2</v>
      </c>
      <c r="F2" s="37" t="s">
        <v>8</v>
      </c>
      <c r="G2" s="37"/>
      <c r="H2" s="37" t="s">
        <v>21</v>
      </c>
      <c r="I2" s="37" t="s">
        <v>3</v>
      </c>
      <c r="J2" s="37" t="s">
        <v>61</v>
      </c>
      <c r="K2" s="37" t="s">
        <v>4</v>
      </c>
      <c r="L2" s="6"/>
    </row>
    <row r="3" spans="1:12" x14ac:dyDescent="0.15">
      <c r="A3" s="37"/>
      <c r="B3" s="37"/>
      <c r="C3" s="37"/>
      <c r="D3" s="37"/>
      <c r="E3" s="37"/>
      <c r="F3" s="13" t="s">
        <v>5</v>
      </c>
      <c r="G3" s="13" t="s">
        <v>6</v>
      </c>
      <c r="H3" s="37"/>
      <c r="I3" s="37"/>
      <c r="J3" s="37"/>
      <c r="K3" s="37"/>
      <c r="L3" s="6"/>
    </row>
    <row r="4" spans="1:12" x14ac:dyDescent="0.15">
      <c r="A4" s="7" t="s">
        <v>12</v>
      </c>
      <c r="B4" s="13" t="s">
        <v>33</v>
      </c>
      <c r="C4" s="16"/>
      <c r="D4" s="15" t="s">
        <v>92</v>
      </c>
      <c r="E4" s="13"/>
      <c r="F4" s="13">
        <v>1024</v>
      </c>
      <c r="G4" s="13">
        <v>768</v>
      </c>
      <c r="H4" s="13">
        <v>38</v>
      </c>
      <c r="I4" s="8">
        <f t="shared" ref="I4:I41" si="0">H4/2.54</f>
        <v>14.960629921259843</v>
      </c>
      <c r="J4" s="8" t="s">
        <v>62</v>
      </c>
      <c r="K4" s="7"/>
      <c r="L4" s="6" t="s">
        <v>78</v>
      </c>
    </row>
    <row r="5" spans="1:12" x14ac:dyDescent="0.15">
      <c r="A5" s="7" t="s">
        <v>10</v>
      </c>
      <c r="B5" s="13" t="s">
        <v>11</v>
      </c>
      <c r="C5" s="16"/>
      <c r="D5" s="13" t="s">
        <v>73</v>
      </c>
      <c r="E5" s="13" t="s">
        <v>7</v>
      </c>
      <c r="F5" s="13">
        <v>1280</v>
      </c>
      <c r="G5" s="13">
        <v>1024</v>
      </c>
      <c r="H5" s="13">
        <v>48</v>
      </c>
      <c r="I5" s="8">
        <f t="shared" si="0"/>
        <v>18.897637795275589</v>
      </c>
      <c r="J5" s="8" t="s">
        <v>63</v>
      </c>
      <c r="K5" s="7" t="s">
        <v>74</v>
      </c>
      <c r="L5" s="6"/>
    </row>
    <row r="6" spans="1:12" x14ac:dyDescent="0.15">
      <c r="A6" s="7" t="s">
        <v>12</v>
      </c>
      <c r="B6" s="13" t="s">
        <v>109</v>
      </c>
      <c r="C6" s="32"/>
      <c r="D6" s="15" t="s">
        <v>93</v>
      </c>
      <c r="E6" s="13"/>
      <c r="F6" s="13">
        <v>1280</v>
      </c>
      <c r="G6" s="13">
        <v>1024</v>
      </c>
      <c r="H6" s="13">
        <v>48</v>
      </c>
      <c r="I6" s="8">
        <f t="shared" si="0"/>
        <v>18.897637795275589</v>
      </c>
      <c r="J6" s="8" t="s">
        <v>62</v>
      </c>
      <c r="K6" s="7"/>
      <c r="L6" s="6"/>
    </row>
    <row r="7" spans="1:12" x14ac:dyDescent="0.15">
      <c r="A7" s="7" t="s">
        <v>10</v>
      </c>
      <c r="B7" s="13" t="s">
        <v>16</v>
      </c>
      <c r="C7" s="32"/>
      <c r="D7" s="15" t="s">
        <v>88</v>
      </c>
      <c r="E7" s="13"/>
      <c r="F7" s="13">
        <v>1280</v>
      </c>
      <c r="G7" s="13">
        <v>1024</v>
      </c>
      <c r="H7" s="13">
        <v>48</v>
      </c>
      <c r="I7" s="8">
        <f t="shared" si="0"/>
        <v>18.897637795275589</v>
      </c>
      <c r="J7" s="8" t="s">
        <v>63</v>
      </c>
      <c r="K7" s="7" t="s">
        <v>67</v>
      </c>
      <c r="L7" s="6"/>
    </row>
    <row r="8" spans="1:12" x14ac:dyDescent="0.15">
      <c r="A8" s="7" t="s">
        <v>13</v>
      </c>
      <c r="B8" s="13" t="s">
        <v>19</v>
      </c>
      <c r="C8" s="32"/>
      <c r="D8" s="13" t="s">
        <v>87</v>
      </c>
      <c r="E8" s="13"/>
      <c r="F8" s="13">
        <v>1280</v>
      </c>
      <c r="G8" s="13">
        <v>1024</v>
      </c>
      <c r="H8" s="13">
        <v>48</v>
      </c>
      <c r="I8" s="8">
        <f t="shared" si="0"/>
        <v>18.897637795275589</v>
      </c>
      <c r="J8" s="8" t="s">
        <v>64</v>
      </c>
      <c r="K8" s="7" t="s">
        <v>68</v>
      </c>
      <c r="L8" s="6"/>
    </row>
    <row r="9" spans="1:12" x14ac:dyDescent="0.15">
      <c r="A9" s="7" t="s">
        <v>12</v>
      </c>
      <c r="B9" s="13" t="s">
        <v>28</v>
      </c>
      <c r="C9" s="16"/>
      <c r="D9" s="15" t="s">
        <v>85</v>
      </c>
      <c r="E9" s="13"/>
      <c r="F9" s="13">
        <v>1280</v>
      </c>
      <c r="G9" s="13">
        <v>1024</v>
      </c>
      <c r="H9" s="13">
        <v>43</v>
      </c>
      <c r="I9" s="8">
        <f t="shared" si="0"/>
        <v>16.929133858267715</v>
      </c>
      <c r="J9" s="8" t="s">
        <v>62</v>
      </c>
      <c r="K9" s="7" t="s">
        <v>89</v>
      </c>
      <c r="L9" s="6"/>
    </row>
    <row r="10" spans="1:12" x14ac:dyDescent="0.15">
      <c r="A10" s="7" t="s">
        <v>12</v>
      </c>
      <c r="B10" s="13" t="s">
        <v>29</v>
      </c>
      <c r="C10" s="16" t="s">
        <v>175</v>
      </c>
      <c r="D10" s="15" t="s">
        <v>94</v>
      </c>
      <c r="E10" s="13"/>
      <c r="F10" s="13">
        <v>1280</v>
      </c>
      <c r="G10" s="13">
        <v>1024</v>
      </c>
      <c r="H10" s="13">
        <v>48</v>
      </c>
      <c r="I10" s="8">
        <f t="shared" si="0"/>
        <v>18.897637795275589</v>
      </c>
      <c r="J10" s="8" t="s">
        <v>62</v>
      </c>
      <c r="K10" s="7"/>
      <c r="L10" s="6"/>
    </row>
    <row r="11" spans="1:12" x14ac:dyDescent="0.15">
      <c r="A11" s="7" t="s">
        <v>12</v>
      </c>
      <c r="B11" s="13" t="s">
        <v>32</v>
      </c>
      <c r="C11" s="11" t="s">
        <v>167</v>
      </c>
      <c r="D11" s="15" t="s">
        <v>95</v>
      </c>
      <c r="E11" s="13"/>
      <c r="F11" s="13">
        <v>1280</v>
      </c>
      <c r="G11" s="13">
        <v>1024</v>
      </c>
      <c r="H11" s="13">
        <v>48</v>
      </c>
      <c r="I11" s="8">
        <f t="shared" si="0"/>
        <v>18.897637795275589</v>
      </c>
      <c r="J11" s="8" t="s">
        <v>62</v>
      </c>
      <c r="K11" s="7"/>
      <c r="L11" s="6"/>
    </row>
    <row r="12" spans="1:12" x14ac:dyDescent="0.15">
      <c r="A12" s="7" t="s">
        <v>14</v>
      </c>
      <c r="B12" s="13" t="s">
        <v>111</v>
      </c>
      <c r="C12" s="16" t="s">
        <v>176</v>
      </c>
      <c r="D12" s="15" t="s">
        <v>96</v>
      </c>
      <c r="E12" s="13"/>
      <c r="F12" s="13">
        <v>1280</v>
      </c>
      <c r="G12" s="13">
        <v>1024</v>
      </c>
      <c r="H12" s="13">
        <v>43</v>
      </c>
      <c r="I12" s="8">
        <f t="shared" si="0"/>
        <v>16.929133858267715</v>
      </c>
      <c r="J12" s="8" t="s">
        <v>64</v>
      </c>
      <c r="K12" s="7"/>
      <c r="L12" s="6" t="s">
        <v>78</v>
      </c>
    </row>
    <row r="13" spans="1:12" x14ac:dyDescent="0.15">
      <c r="A13" s="7" t="s">
        <v>12</v>
      </c>
      <c r="B13" s="13" t="s">
        <v>34</v>
      </c>
      <c r="C13" s="11" t="s">
        <v>97</v>
      </c>
      <c r="D13" s="15" t="s">
        <v>97</v>
      </c>
      <c r="E13" s="13"/>
      <c r="F13" s="13">
        <v>1280</v>
      </c>
      <c r="G13" s="13">
        <v>1024</v>
      </c>
      <c r="H13" s="13">
        <v>48</v>
      </c>
      <c r="I13" s="8">
        <f t="shared" si="0"/>
        <v>18.897637795275589</v>
      </c>
      <c r="J13" s="8" t="s">
        <v>63</v>
      </c>
      <c r="K13" s="7" t="s">
        <v>69</v>
      </c>
      <c r="L13" s="6"/>
    </row>
    <row r="14" spans="1:12" x14ac:dyDescent="0.15">
      <c r="A14" s="7" t="s">
        <v>12</v>
      </c>
      <c r="B14" s="13" t="s">
        <v>35</v>
      </c>
      <c r="C14" s="16"/>
      <c r="D14" s="15" t="s">
        <v>98</v>
      </c>
      <c r="E14" s="13"/>
      <c r="F14" s="13">
        <v>1280</v>
      </c>
      <c r="G14" s="13">
        <v>1024</v>
      </c>
      <c r="H14" s="13">
        <v>43</v>
      </c>
      <c r="I14" s="8">
        <f t="shared" si="0"/>
        <v>16.929133858267715</v>
      </c>
      <c r="J14" s="8" t="s">
        <v>62</v>
      </c>
      <c r="K14" s="7"/>
      <c r="L14" s="6"/>
    </row>
    <row r="15" spans="1:12" x14ac:dyDescent="0.15">
      <c r="A15" s="18" t="s">
        <v>10</v>
      </c>
      <c r="B15" s="19" t="s">
        <v>40</v>
      </c>
      <c r="C15" s="19" t="s">
        <v>114</v>
      </c>
      <c r="D15" s="19" t="s">
        <v>114</v>
      </c>
      <c r="E15" s="18"/>
      <c r="F15" s="19">
        <v>1280</v>
      </c>
      <c r="G15" s="19">
        <v>1024</v>
      </c>
      <c r="H15" s="19">
        <v>48</v>
      </c>
      <c r="I15" s="20">
        <f t="shared" si="0"/>
        <v>18.897637795275589</v>
      </c>
      <c r="J15" s="20" t="s">
        <v>62</v>
      </c>
      <c r="K15" s="18"/>
      <c r="L15" s="6"/>
    </row>
    <row r="16" spans="1:12" x14ac:dyDescent="0.15">
      <c r="A16" s="7" t="s">
        <v>12</v>
      </c>
      <c r="B16" s="13" t="s">
        <v>34</v>
      </c>
      <c r="C16" s="16" t="s">
        <v>166</v>
      </c>
      <c r="D16" s="15" t="s">
        <v>99</v>
      </c>
      <c r="E16" s="7"/>
      <c r="F16" s="13">
        <v>1280</v>
      </c>
      <c r="G16" s="13">
        <v>1024</v>
      </c>
      <c r="H16" s="13">
        <v>48</v>
      </c>
      <c r="I16" s="8">
        <f t="shared" si="0"/>
        <v>18.897637795275589</v>
      </c>
      <c r="J16" s="8" t="s">
        <v>63</v>
      </c>
      <c r="K16" s="7" t="s">
        <v>69</v>
      </c>
      <c r="L16" s="6"/>
    </row>
    <row r="17" spans="1:12" x14ac:dyDescent="0.15">
      <c r="A17" s="7" t="s">
        <v>41</v>
      </c>
      <c r="B17" s="13" t="s">
        <v>42</v>
      </c>
      <c r="C17" s="16"/>
      <c r="D17" s="15" t="s">
        <v>100</v>
      </c>
      <c r="E17" s="13" t="s">
        <v>113</v>
      </c>
      <c r="F17" s="13">
        <v>1280</v>
      </c>
      <c r="G17" s="13">
        <v>1024</v>
      </c>
      <c r="H17" s="13">
        <v>48</v>
      </c>
      <c r="I17" s="8">
        <f t="shared" si="0"/>
        <v>18.897637795275589</v>
      </c>
      <c r="J17" s="8" t="s">
        <v>62</v>
      </c>
      <c r="K17" s="7"/>
      <c r="L17" s="6"/>
    </row>
    <row r="18" spans="1:12" x14ac:dyDescent="0.15">
      <c r="A18" s="7" t="s">
        <v>18</v>
      </c>
      <c r="B18" s="13" t="s">
        <v>112</v>
      </c>
      <c r="C18" s="16"/>
      <c r="D18" s="15" t="s">
        <v>101</v>
      </c>
      <c r="E18" s="13"/>
      <c r="F18" s="13">
        <v>1280</v>
      </c>
      <c r="G18" s="13">
        <v>1024</v>
      </c>
      <c r="H18" s="13">
        <v>48</v>
      </c>
      <c r="I18" s="8">
        <f t="shared" si="0"/>
        <v>18.897637795275589</v>
      </c>
      <c r="J18" s="8" t="s">
        <v>64</v>
      </c>
      <c r="K18" s="7" t="s">
        <v>69</v>
      </c>
      <c r="L18" s="6" t="s">
        <v>78</v>
      </c>
    </row>
    <row r="19" spans="1:12" x14ac:dyDescent="0.15">
      <c r="A19" s="18" t="s">
        <v>24</v>
      </c>
      <c r="B19" s="19" t="s">
        <v>52</v>
      </c>
      <c r="C19" s="21" t="s">
        <v>53</v>
      </c>
      <c r="D19" s="19" t="s">
        <v>53</v>
      </c>
      <c r="E19" s="19"/>
      <c r="F19" s="19">
        <v>1440</v>
      </c>
      <c r="G19" s="19">
        <v>900</v>
      </c>
      <c r="H19" s="19">
        <v>48</v>
      </c>
      <c r="I19" s="20">
        <f t="shared" si="0"/>
        <v>18.897637795275589</v>
      </c>
      <c r="J19" s="20" t="s">
        <v>64</v>
      </c>
      <c r="K19" s="18"/>
      <c r="L19" s="6"/>
    </row>
    <row r="20" spans="1:12" x14ac:dyDescent="0.15">
      <c r="A20" s="7" t="s">
        <v>24</v>
      </c>
      <c r="B20" s="13" t="s">
        <v>56</v>
      </c>
      <c r="C20" s="11"/>
      <c r="D20" s="15" t="s">
        <v>57</v>
      </c>
      <c r="E20" s="13"/>
      <c r="F20" s="13">
        <v>1440</v>
      </c>
      <c r="G20" s="13">
        <v>900</v>
      </c>
      <c r="H20" s="13">
        <v>43</v>
      </c>
      <c r="I20" s="8">
        <f t="shared" si="0"/>
        <v>16.929133858267715</v>
      </c>
      <c r="J20" s="8" t="s">
        <v>62</v>
      </c>
      <c r="K20" s="7"/>
      <c r="L20" s="6"/>
    </row>
    <row r="21" spans="1:12" x14ac:dyDescent="0.15">
      <c r="A21" s="7" t="s">
        <v>12</v>
      </c>
      <c r="B21" s="13" t="s">
        <v>38</v>
      </c>
      <c r="C21" s="16" t="s">
        <v>36</v>
      </c>
      <c r="D21" s="13" t="s">
        <v>36</v>
      </c>
      <c r="E21" s="13"/>
      <c r="F21" s="13">
        <v>1680</v>
      </c>
      <c r="G21" s="13">
        <v>1050</v>
      </c>
      <c r="H21" s="13">
        <v>55</v>
      </c>
      <c r="I21" s="8">
        <f t="shared" si="0"/>
        <v>21.653543307086615</v>
      </c>
      <c r="J21" s="8" t="s">
        <v>39</v>
      </c>
      <c r="K21" s="7"/>
      <c r="L21" s="6"/>
    </row>
    <row r="22" spans="1:12" x14ac:dyDescent="0.15">
      <c r="A22" s="7" t="s">
        <v>24</v>
      </c>
      <c r="B22" s="13" t="s">
        <v>37</v>
      </c>
      <c r="C22" s="16" t="s">
        <v>73</v>
      </c>
      <c r="D22" s="13" t="s">
        <v>9</v>
      </c>
      <c r="E22" s="13"/>
      <c r="F22" s="13">
        <v>1680</v>
      </c>
      <c r="G22" s="13">
        <v>1050</v>
      </c>
      <c r="H22" s="13">
        <v>55</v>
      </c>
      <c r="I22" s="8">
        <f t="shared" si="0"/>
        <v>21.653543307086615</v>
      </c>
      <c r="J22" s="8" t="s">
        <v>39</v>
      </c>
      <c r="K22" s="7" t="s">
        <v>69</v>
      </c>
      <c r="L22" s="6" t="s">
        <v>78</v>
      </c>
    </row>
    <row r="23" spans="1:12" x14ac:dyDescent="0.15">
      <c r="A23" s="7" t="s">
        <v>24</v>
      </c>
      <c r="B23" s="13" t="s">
        <v>44</v>
      </c>
      <c r="C23" s="16" t="s">
        <v>102</v>
      </c>
      <c r="D23" s="13" t="s">
        <v>102</v>
      </c>
      <c r="E23" s="13"/>
      <c r="F23" s="13">
        <v>1680</v>
      </c>
      <c r="G23" s="13">
        <v>1050</v>
      </c>
      <c r="H23" s="13">
        <v>61</v>
      </c>
      <c r="I23" s="8">
        <f t="shared" si="0"/>
        <v>24.015748031496063</v>
      </c>
      <c r="J23" s="8" t="s">
        <v>63</v>
      </c>
      <c r="K23" s="7"/>
      <c r="L23" s="6" t="s">
        <v>78</v>
      </c>
    </row>
    <row r="24" spans="1:12" x14ac:dyDescent="0.15">
      <c r="A24" s="7" t="s">
        <v>24</v>
      </c>
      <c r="B24" s="13" t="s">
        <v>37</v>
      </c>
      <c r="C24" s="16" t="s">
        <v>103</v>
      </c>
      <c r="D24" s="13" t="s">
        <v>103</v>
      </c>
      <c r="E24" s="13"/>
      <c r="F24" s="13">
        <v>1680</v>
      </c>
      <c r="G24" s="13">
        <v>1050</v>
      </c>
      <c r="H24" s="13">
        <v>55</v>
      </c>
      <c r="I24" s="8">
        <f t="shared" si="0"/>
        <v>21.653543307086615</v>
      </c>
      <c r="J24" s="8" t="s">
        <v>39</v>
      </c>
      <c r="K24" s="7" t="s">
        <v>69</v>
      </c>
      <c r="L24" s="6" t="s">
        <v>78</v>
      </c>
    </row>
    <row r="25" spans="1:12" x14ac:dyDescent="0.15">
      <c r="A25" s="7" t="s">
        <v>24</v>
      </c>
      <c r="B25" s="13" t="s">
        <v>46</v>
      </c>
      <c r="C25" s="16" t="s">
        <v>85</v>
      </c>
      <c r="D25" s="13" t="s">
        <v>47</v>
      </c>
      <c r="E25" s="13"/>
      <c r="F25" s="13">
        <v>1680</v>
      </c>
      <c r="G25" s="13">
        <v>1050</v>
      </c>
      <c r="H25" s="13">
        <v>56</v>
      </c>
      <c r="I25" s="8">
        <f t="shared" si="0"/>
        <v>22.047244094488189</v>
      </c>
      <c r="J25" s="8" t="s">
        <v>39</v>
      </c>
      <c r="K25" s="7"/>
      <c r="L25" s="6"/>
    </row>
    <row r="26" spans="1:12" x14ac:dyDescent="0.15">
      <c r="A26" s="18" t="s">
        <v>24</v>
      </c>
      <c r="B26" s="19" t="s">
        <v>50</v>
      </c>
      <c r="C26" s="19" t="s">
        <v>51</v>
      </c>
      <c r="D26" s="19" t="s">
        <v>51</v>
      </c>
      <c r="E26" s="19"/>
      <c r="F26" s="19">
        <v>1680</v>
      </c>
      <c r="G26" s="19">
        <v>1050</v>
      </c>
      <c r="H26" s="19">
        <v>51</v>
      </c>
      <c r="I26" s="20">
        <f t="shared" si="0"/>
        <v>20.078740157480315</v>
      </c>
      <c r="J26" s="20" t="s">
        <v>63</v>
      </c>
      <c r="K26" s="18"/>
      <c r="L26" s="6"/>
    </row>
    <row r="27" spans="1:12" x14ac:dyDescent="0.15">
      <c r="A27" s="18" t="s">
        <v>24</v>
      </c>
      <c r="B27" s="19" t="s">
        <v>37</v>
      </c>
      <c r="C27" s="19" t="s">
        <v>54</v>
      </c>
      <c r="D27" s="19" t="s">
        <v>54</v>
      </c>
      <c r="E27" s="19"/>
      <c r="F27" s="19">
        <v>1680</v>
      </c>
      <c r="G27" s="19">
        <v>1050</v>
      </c>
      <c r="H27" s="19">
        <v>55</v>
      </c>
      <c r="I27" s="20">
        <f t="shared" si="0"/>
        <v>21.653543307086615</v>
      </c>
      <c r="J27" s="20" t="s">
        <v>39</v>
      </c>
      <c r="K27" s="18"/>
      <c r="L27" s="6"/>
    </row>
    <row r="28" spans="1:12" x14ac:dyDescent="0.15">
      <c r="A28" s="18" t="s">
        <v>24</v>
      </c>
      <c r="B28" s="19" t="s">
        <v>50</v>
      </c>
      <c r="C28" s="19" t="s">
        <v>55</v>
      </c>
      <c r="D28" s="19" t="s">
        <v>55</v>
      </c>
      <c r="E28" s="19"/>
      <c r="F28" s="19">
        <v>1680</v>
      </c>
      <c r="G28" s="19">
        <v>1050</v>
      </c>
      <c r="H28" s="19">
        <v>51</v>
      </c>
      <c r="I28" s="20">
        <f t="shared" si="0"/>
        <v>20.078740157480315</v>
      </c>
      <c r="J28" s="20" t="s">
        <v>63</v>
      </c>
      <c r="K28" s="18"/>
      <c r="L28" s="6"/>
    </row>
    <row r="29" spans="1:12" x14ac:dyDescent="0.15">
      <c r="A29" s="7" t="s">
        <v>13</v>
      </c>
      <c r="B29" s="13" t="s">
        <v>15</v>
      </c>
      <c r="C29" s="11" t="s">
        <v>80</v>
      </c>
      <c r="D29" s="13" t="s">
        <v>9</v>
      </c>
      <c r="E29" s="13"/>
      <c r="F29" s="13">
        <v>1920</v>
      </c>
      <c r="G29" s="13">
        <v>1080</v>
      </c>
      <c r="H29" s="13">
        <v>55</v>
      </c>
      <c r="I29" s="8">
        <f t="shared" si="0"/>
        <v>21.653543307086615</v>
      </c>
      <c r="J29" s="8" t="s">
        <v>65</v>
      </c>
      <c r="K29" s="7" t="s">
        <v>70</v>
      </c>
      <c r="L29" s="6"/>
    </row>
    <row r="30" spans="1:12" x14ac:dyDescent="0.15">
      <c r="A30" s="3" t="s">
        <v>14</v>
      </c>
      <c r="B30" s="4" t="s">
        <v>110</v>
      </c>
      <c r="C30" s="4" t="s">
        <v>168</v>
      </c>
      <c r="D30" s="4" t="s">
        <v>86</v>
      </c>
      <c r="E30" s="4"/>
      <c r="F30" s="4">
        <v>1920</v>
      </c>
      <c r="G30" s="4">
        <v>1080</v>
      </c>
      <c r="H30" s="4">
        <v>60</v>
      </c>
      <c r="I30" s="5">
        <f t="shared" si="0"/>
        <v>23.622047244094489</v>
      </c>
      <c r="J30" s="5" t="s">
        <v>65</v>
      </c>
      <c r="K30" s="3" t="s">
        <v>71</v>
      </c>
      <c r="L30" s="6"/>
    </row>
    <row r="31" spans="1:12" x14ac:dyDescent="0.15">
      <c r="A31" s="7" t="s">
        <v>10</v>
      </c>
      <c r="B31" s="13" t="s">
        <v>22</v>
      </c>
      <c r="C31" s="31" t="s">
        <v>88</v>
      </c>
      <c r="D31" s="13" t="s">
        <v>23</v>
      </c>
      <c r="E31" s="13"/>
      <c r="F31" s="13">
        <v>1920</v>
      </c>
      <c r="G31" s="13">
        <v>1080</v>
      </c>
      <c r="H31" s="13">
        <v>55</v>
      </c>
      <c r="I31" s="8">
        <f t="shared" si="0"/>
        <v>21.653543307086615</v>
      </c>
      <c r="J31" s="8" t="s">
        <v>65</v>
      </c>
      <c r="K31" s="7" t="s">
        <v>72</v>
      </c>
      <c r="L31" s="6"/>
    </row>
    <row r="32" spans="1:12" x14ac:dyDescent="0.15">
      <c r="A32" s="7" t="s">
        <v>12</v>
      </c>
      <c r="B32" s="13" t="s">
        <v>25</v>
      </c>
      <c r="C32" s="31" t="s">
        <v>98</v>
      </c>
      <c r="D32" s="13" t="s">
        <v>26</v>
      </c>
      <c r="E32" s="13"/>
      <c r="F32" s="13">
        <v>1920</v>
      </c>
      <c r="G32" s="13">
        <v>1080</v>
      </c>
      <c r="H32" s="13">
        <v>54</v>
      </c>
      <c r="I32" s="8">
        <f t="shared" si="0"/>
        <v>21.259842519685041</v>
      </c>
      <c r="J32" s="8" t="s">
        <v>65</v>
      </c>
      <c r="K32" s="7" t="s">
        <v>27</v>
      </c>
      <c r="L32" s="6"/>
    </row>
    <row r="33" spans="1:12" x14ac:dyDescent="0.15">
      <c r="A33" s="3" t="s">
        <v>14</v>
      </c>
      <c r="B33" s="4" t="s">
        <v>110</v>
      </c>
      <c r="C33" s="4" t="s">
        <v>169</v>
      </c>
      <c r="D33" s="4" t="s">
        <v>80</v>
      </c>
      <c r="E33" s="4"/>
      <c r="F33" s="4">
        <v>1920</v>
      </c>
      <c r="G33" s="4">
        <v>1080</v>
      </c>
      <c r="H33" s="4">
        <v>60</v>
      </c>
      <c r="I33" s="5">
        <f>H33/2.54</f>
        <v>23.622047244094489</v>
      </c>
      <c r="J33" s="5" t="s">
        <v>63</v>
      </c>
      <c r="K33" s="3" t="s">
        <v>71</v>
      </c>
      <c r="L33" s="6"/>
    </row>
    <row r="34" spans="1:12" x14ac:dyDescent="0.15">
      <c r="A34" s="7" t="s">
        <v>14</v>
      </c>
      <c r="B34" s="13" t="s">
        <v>31</v>
      </c>
      <c r="C34" s="31" t="s">
        <v>162</v>
      </c>
      <c r="D34" s="13" t="s">
        <v>20</v>
      </c>
      <c r="E34" s="13"/>
      <c r="F34" s="13">
        <v>1920</v>
      </c>
      <c r="G34" s="13">
        <v>1080</v>
      </c>
      <c r="H34" s="13">
        <v>68</v>
      </c>
      <c r="I34" s="8">
        <f>H34/2.54</f>
        <v>26.771653543307085</v>
      </c>
      <c r="J34" s="8" t="s">
        <v>65</v>
      </c>
      <c r="K34" s="7"/>
      <c r="L34" s="6" t="s">
        <v>78</v>
      </c>
    </row>
    <row r="35" spans="1:12" x14ac:dyDescent="0.15">
      <c r="A35" s="3" t="s">
        <v>14</v>
      </c>
      <c r="B35" s="4" t="s">
        <v>110</v>
      </c>
      <c r="C35" s="4" t="s">
        <v>170</v>
      </c>
      <c r="D35" s="4" t="s">
        <v>81</v>
      </c>
      <c r="E35" s="4"/>
      <c r="F35" s="4">
        <v>1920</v>
      </c>
      <c r="G35" s="4">
        <v>1080</v>
      </c>
      <c r="H35" s="4">
        <v>60</v>
      </c>
      <c r="I35" s="5">
        <f t="shared" si="0"/>
        <v>23.622047244094489</v>
      </c>
      <c r="J35" s="5" t="s">
        <v>63</v>
      </c>
      <c r="K35" s="3" t="s">
        <v>71</v>
      </c>
      <c r="L35" s="6"/>
    </row>
    <row r="36" spans="1:12" x14ac:dyDescent="0.15">
      <c r="A36" s="7" t="s">
        <v>24</v>
      </c>
      <c r="B36" s="13" t="s">
        <v>43</v>
      </c>
      <c r="C36" s="31" t="s">
        <v>96</v>
      </c>
      <c r="D36" s="13" t="s">
        <v>96</v>
      </c>
      <c r="E36" s="13"/>
      <c r="F36" s="13">
        <v>1920</v>
      </c>
      <c r="G36" s="13">
        <v>1080</v>
      </c>
      <c r="H36" s="13">
        <v>63</v>
      </c>
      <c r="I36" s="8">
        <f t="shared" si="0"/>
        <v>24.803149606299211</v>
      </c>
      <c r="J36" s="8" t="s">
        <v>63</v>
      </c>
      <c r="K36" s="7" t="s">
        <v>69</v>
      </c>
      <c r="L36" s="6" t="s">
        <v>78</v>
      </c>
    </row>
    <row r="37" spans="1:12" x14ac:dyDescent="0.15">
      <c r="A37" s="7" t="s">
        <v>30</v>
      </c>
      <c r="B37" s="13" t="s">
        <v>45</v>
      </c>
      <c r="C37" s="31" t="s">
        <v>140</v>
      </c>
      <c r="D37" s="13" t="s">
        <v>104</v>
      </c>
      <c r="E37" s="13"/>
      <c r="F37" s="13">
        <v>1920</v>
      </c>
      <c r="G37" s="13">
        <v>1080</v>
      </c>
      <c r="H37" s="13">
        <v>69</v>
      </c>
      <c r="I37" s="8">
        <f t="shared" si="0"/>
        <v>27.165354330708659</v>
      </c>
      <c r="J37" s="8" t="s">
        <v>65</v>
      </c>
      <c r="K37" s="7"/>
      <c r="L37" s="6" t="s">
        <v>78</v>
      </c>
    </row>
    <row r="38" spans="1:12" x14ac:dyDescent="0.15">
      <c r="A38" s="7" t="s">
        <v>24</v>
      </c>
      <c r="B38" s="13" t="s">
        <v>43</v>
      </c>
      <c r="C38" s="31" t="s">
        <v>162</v>
      </c>
      <c r="D38" s="13" t="s">
        <v>57</v>
      </c>
      <c r="E38" s="13"/>
      <c r="F38" s="13">
        <v>1920</v>
      </c>
      <c r="G38" s="13">
        <v>1080</v>
      </c>
      <c r="H38" s="13">
        <v>59</v>
      </c>
      <c r="I38" s="8">
        <f t="shared" si="0"/>
        <v>23.228346456692915</v>
      </c>
      <c r="J38" s="8" t="s">
        <v>63</v>
      </c>
      <c r="K38" s="7"/>
      <c r="L38" s="6"/>
    </row>
    <row r="39" spans="1:12" x14ac:dyDescent="0.15">
      <c r="A39" s="7" t="s">
        <v>30</v>
      </c>
      <c r="B39" s="13" t="s">
        <v>58</v>
      </c>
      <c r="C39" s="31" t="s">
        <v>59</v>
      </c>
      <c r="D39" s="13" t="s">
        <v>59</v>
      </c>
      <c r="E39" s="13"/>
      <c r="F39" s="13">
        <v>1920</v>
      </c>
      <c r="G39" s="13">
        <v>1080</v>
      </c>
      <c r="H39" s="13">
        <v>68</v>
      </c>
      <c r="I39" s="8">
        <f t="shared" si="0"/>
        <v>26.771653543307085</v>
      </c>
      <c r="J39" s="8" t="s">
        <v>65</v>
      </c>
      <c r="K39" s="7"/>
      <c r="L39" s="6"/>
    </row>
    <row r="40" spans="1:12" x14ac:dyDescent="0.15">
      <c r="A40" s="18" t="s">
        <v>24</v>
      </c>
      <c r="B40" s="19" t="s">
        <v>48</v>
      </c>
      <c r="C40" s="19" t="s">
        <v>49</v>
      </c>
      <c r="D40" s="19" t="s">
        <v>49</v>
      </c>
      <c r="E40" s="19"/>
      <c r="F40" s="19">
        <v>2048</v>
      </c>
      <c r="G40" s="19">
        <v>1152</v>
      </c>
      <c r="H40" s="19">
        <v>68</v>
      </c>
      <c r="I40" s="20">
        <f t="shared" si="0"/>
        <v>26.771653543307085</v>
      </c>
      <c r="J40" s="20" t="s">
        <v>66</v>
      </c>
      <c r="K40" s="18"/>
      <c r="L40" s="6"/>
    </row>
    <row r="41" spans="1:12" x14ac:dyDescent="0.15">
      <c r="A41" s="7"/>
      <c r="B41" s="13" t="s">
        <v>60</v>
      </c>
      <c r="C41" s="31" t="s">
        <v>59</v>
      </c>
      <c r="D41" s="13" t="s">
        <v>59</v>
      </c>
      <c r="E41" s="13"/>
      <c r="F41" s="13"/>
      <c r="G41" s="13"/>
      <c r="H41" s="13">
        <v>51</v>
      </c>
      <c r="I41" s="8">
        <f t="shared" si="0"/>
        <v>20.078740157480315</v>
      </c>
      <c r="J41" s="8" t="s">
        <v>63</v>
      </c>
      <c r="K41" s="7" t="s">
        <v>69</v>
      </c>
      <c r="L41" s="6"/>
    </row>
    <row r="42" spans="1:12" x14ac:dyDescent="0.15">
      <c r="A42" s="3" t="s">
        <v>41</v>
      </c>
      <c r="B42" s="4" t="s">
        <v>108</v>
      </c>
      <c r="C42" s="4" t="s">
        <v>79</v>
      </c>
      <c r="D42" s="4" t="s">
        <v>79</v>
      </c>
      <c r="E42" s="3"/>
      <c r="F42" s="3"/>
      <c r="G42" s="3"/>
      <c r="H42" s="3"/>
      <c r="I42" s="3"/>
      <c r="J42" s="3"/>
      <c r="K42" s="3" t="s">
        <v>71</v>
      </c>
      <c r="L42" s="6"/>
    </row>
    <row r="43" spans="1:12" x14ac:dyDescent="0.15">
      <c r="A43" s="7" t="s">
        <v>90</v>
      </c>
      <c r="B43" s="13" t="s">
        <v>107</v>
      </c>
      <c r="C43" s="13"/>
      <c r="D43" s="15" t="s">
        <v>105</v>
      </c>
      <c r="E43" s="7"/>
      <c r="F43" s="7"/>
      <c r="G43" s="7"/>
      <c r="H43" s="13">
        <v>48</v>
      </c>
      <c r="I43" s="7"/>
      <c r="J43" s="7"/>
      <c r="K43" s="7"/>
      <c r="L43" s="6"/>
    </row>
    <row r="44" spans="1:12" x14ac:dyDescent="0.15">
      <c r="A44" s="7" t="s">
        <v>171</v>
      </c>
      <c r="B44" s="33" t="s">
        <v>174</v>
      </c>
      <c r="C44" s="34" t="s">
        <v>162</v>
      </c>
      <c r="D44" s="36"/>
      <c r="E44" s="35"/>
      <c r="F44" s="33">
        <v>1920</v>
      </c>
      <c r="G44" s="33">
        <v>1080</v>
      </c>
      <c r="H44" s="33">
        <v>59</v>
      </c>
      <c r="I44" s="33">
        <v>23</v>
      </c>
      <c r="J44" s="33" t="s">
        <v>173</v>
      </c>
      <c r="K44" s="7" t="s">
        <v>172</v>
      </c>
      <c r="L44" s="6"/>
    </row>
    <row r="46" spans="1:12" x14ac:dyDescent="0.15">
      <c r="A46" s="1" t="s">
        <v>75</v>
      </c>
      <c r="B46" s="1">
        <f>COUNTA(B4:B43)</f>
        <v>40</v>
      </c>
      <c r="D46" s="22"/>
      <c r="E46" s="1" t="s">
        <v>106</v>
      </c>
    </row>
    <row r="47" spans="1:12" x14ac:dyDescent="0.15">
      <c r="A47" s="1" t="s">
        <v>76</v>
      </c>
      <c r="B47" s="1">
        <v>33</v>
      </c>
      <c r="D47" s="9"/>
      <c r="E47" s="1" t="s">
        <v>84</v>
      </c>
    </row>
    <row r="48" spans="1:12" x14ac:dyDescent="0.15">
      <c r="A48" s="1" t="s">
        <v>83</v>
      </c>
      <c r="B48" s="1">
        <v>6</v>
      </c>
      <c r="D48" s="10"/>
      <c r="E48" s="1" t="s">
        <v>71</v>
      </c>
    </row>
    <row r="49" spans="1:4" ht="27" x14ac:dyDescent="0.15">
      <c r="A49" s="2" t="s">
        <v>77</v>
      </c>
      <c r="B49" s="1">
        <f>(B46-B48)-B47</f>
        <v>1</v>
      </c>
    </row>
    <row r="50" spans="1:4" x14ac:dyDescent="0.15">
      <c r="A50" s="2" t="s">
        <v>91</v>
      </c>
      <c r="B50" s="1">
        <f>B49-1</f>
        <v>0</v>
      </c>
      <c r="D50" s="11"/>
    </row>
  </sheetData>
  <mergeCells count="10">
    <mergeCell ref="H2:H3"/>
    <mergeCell ref="I2:I3"/>
    <mergeCell ref="J2:J3"/>
    <mergeCell ref="K2:K3"/>
    <mergeCell ref="A2:A3"/>
    <mergeCell ref="B2:B3"/>
    <mergeCell ref="C2:C3"/>
    <mergeCell ref="D2:D3"/>
    <mergeCell ref="E2:E3"/>
    <mergeCell ref="F2:G2"/>
  </mergeCells>
  <phoneticPr fontId="1"/>
  <pageMargins left="0.25" right="0.25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zoomScaleNormal="100" workbookViewId="0">
      <selection activeCell="C4" sqref="C4:C42"/>
    </sheetView>
  </sheetViews>
  <sheetFormatPr defaultRowHeight="13.5" x14ac:dyDescent="0.15"/>
  <cols>
    <col min="1" max="1" width="14" style="1" customWidth="1"/>
    <col min="2" max="2" width="32" style="1" customWidth="1"/>
    <col min="3" max="3" width="15.875" style="1" customWidth="1"/>
    <col min="4" max="4" width="9.5" style="1" bestFit="1" customWidth="1"/>
    <col min="5" max="5" width="15.375" style="1" customWidth="1"/>
    <col min="6" max="7" width="9" style="1"/>
    <col min="8" max="8" width="13.625" style="1" bestFit="1" customWidth="1"/>
    <col min="9" max="9" width="9" style="1"/>
    <col min="10" max="10" width="18.375" style="1" bestFit="1" customWidth="1"/>
    <col min="11" max="11" width="43.875" style="1" bestFit="1" customWidth="1"/>
    <col min="12" max="16384" width="9" style="1"/>
  </cols>
  <sheetData>
    <row r="1" spans="1:14" x14ac:dyDescent="0.15">
      <c r="N1" s="1" t="s">
        <v>158</v>
      </c>
    </row>
    <row r="2" spans="1:14" x14ac:dyDescent="0.15">
      <c r="A2" s="37" t="s">
        <v>17</v>
      </c>
      <c r="B2" s="37" t="s">
        <v>0</v>
      </c>
      <c r="C2" s="37" t="s">
        <v>82</v>
      </c>
      <c r="D2" s="37" t="s">
        <v>1</v>
      </c>
      <c r="E2" s="37" t="s">
        <v>2</v>
      </c>
      <c r="F2" s="37" t="s">
        <v>8</v>
      </c>
      <c r="G2" s="37"/>
      <c r="H2" s="37" t="s">
        <v>21</v>
      </c>
      <c r="I2" s="37" t="s">
        <v>3</v>
      </c>
      <c r="J2" s="37" t="s">
        <v>61</v>
      </c>
      <c r="K2" s="37" t="s">
        <v>4</v>
      </c>
      <c r="L2" s="6"/>
      <c r="N2" s="1" t="s">
        <v>144</v>
      </c>
    </row>
    <row r="3" spans="1:14" x14ac:dyDescent="0.15">
      <c r="A3" s="37"/>
      <c r="B3" s="37"/>
      <c r="C3" s="37"/>
      <c r="D3" s="37"/>
      <c r="E3" s="37"/>
      <c r="F3" s="13" t="s">
        <v>5</v>
      </c>
      <c r="G3" s="13" t="s">
        <v>6</v>
      </c>
      <c r="H3" s="37"/>
      <c r="I3" s="37"/>
      <c r="J3" s="37"/>
      <c r="K3" s="37"/>
      <c r="L3" s="6"/>
      <c r="N3" s="1" t="s">
        <v>145</v>
      </c>
    </row>
    <row r="4" spans="1:14" x14ac:dyDescent="0.15">
      <c r="A4" s="7" t="s">
        <v>12</v>
      </c>
      <c r="B4" s="13" t="s">
        <v>33</v>
      </c>
      <c r="C4" s="16"/>
      <c r="D4" s="15" t="s">
        <v>92</v>
      </c>
      <c r="E4" s="13"/>
      <c r="F4" s="13">
        <v>1024</v>
      </c>
      <c r="G4" s="13">
        <v>768</v>
      </c>
      <c r="H4" s="13">
        <v>38</v>
      </c>
      <c r="I4" s="8">
        <f t="shared" ref="I4:I43" si="0">H4/2.54</f>
        <v>14.960629921259843</v>
      </c>
      <c r="J4" s="8" t="s">
        <v>62</v>
      </c>
      <c r="K4" s="7"/>
      <c r="L4" s="6" t="s">
        <v>78</v>
      </c>
      <c r="N4" s="1" t="s">
        <v>146</v>
      </c>
    </row>
    <row r="5" spans="1:14" x14ac:dyDescent="0.15">
      <c r="A5" s="7" t="s">
        <v>10</v>
      </c>
      <c r="B5" s="13" t="s">
        <v>11</v>
      </c>
      <c r="C5" s="16"/>
      <c r="D5" s="12" t="s">
        <v>73</v>
      </c>
      <c r="E5" s="13" t="s">
        <v>7</v>
      </c>
      <c r="F5" s="13">
        <v>1280</v>
      </c>
      <c r="G5" s="13">
        <v>1024</v>
      </c>
      <c r="H5" s="13">
        <v>48</v>
      </c>
      <c r="I5" s="8">
        <f t="shared" si="0"/>
        <v>18.897637795275589</v>
      </c>
      <c r="J5" s="8" t="s">
        <v>63</v>
      </c>
      <c r="K5" s="7" t="s">
        <v>74</v>
      </c>
      <c r="L5" s="6"/>
      <c r="N5" s="1" t="s">
        <v>147</v>
      </c>
    </row>
    <row r="6" spans="1:14" x14ac:dyDescent="0.15">
      <c r="A6" s="7" t="s">
        <v>12</v>
      </c>
      <c r="B6" s="13" t="s">
        <v>109</v>
      </c>
      <c r="C6" s="17"/>
      <c r="D6" s="15" t="s">
        <v>93</v>
      </c>
      <c r="E6" s="13"/>
      <c r="F6" s="13">
        <v>1280</v>
      </c>
      <c r="G6" s="13">
        <v>1024</v>
      </c>
      <c r="H6" s="13">
        <v>48</v>
      </c>
      <c r="I6" s="8">
        <f t="shared" si="0"/>
        <v>18.897637795275589</v>
      </c>
      <c r="J6" s="8" t="s">
        <v>62</v>
      </c>
      <c r="K6" s="7"/>
      <c r="L6" s="6"/>
      <c r="N6" s="1" t="s">
        <v>148</v>
      </c>
    </row>
    <row r="7" spans="1:14" x14ac:dyDescent="0.15">
      <c r="A7" s="7" t="s">
        <v>10</v>
      </c>
      <c r="B7" s="13" t="s">
        <v>16</v>
      </c>
      <c r="C7" s="15"/>
      <c r="D7" s="12" t="s">
        <v>88</v>
      </c>
      <c r="E7" s="13"/>
      <c r="F7" s="13">
        <v>1280</v>
      </c>
      <c r="G7" s="13">
        <v>1024</v>
      </c>
      <c r="H7" s="13">
        <v>48</v>
      </c>
      <c r="I7" s="8">
        <f t="shared" si="0"/>
        <v>18.897637795275589</v>
      </c>
      <c r="J7" s="8" t="s">
        <v>63</v>
      </c>
      <c r="K7" s="7" t="s">
        <v>67</v>
      </c>
      <c r="L7" s="6"/>
      <c r="N7" s="1" t="s">
        <v>149</v>
      </c>
    </row>
    <row r="8" spans="1:14" x14ac:dyDescent="0.15">
      <c r="A8" s="7" t="s">
        <v>13</v>
      </c>
      <c r="B8" s="13" t="s">
        <v>19</v>
      </c>
      <c r="C8" s="17"/>
      <c r="D8" s="13" t="s">
        <v>87</v>
      </c>
      <c r="E8" s="13"/>
      <c r="F8" s="13">
        <v>1280</v>
      </c>
      <c r="G8" s="13">
        <v>1024</v>
      </c>
      <c r="H8" s="13">
        <v>48</v>
      </c>
      <c r="I8" s="8">
        <f t="shared" si="0"/>
        <v>18.897637795275589</v>
      </c>
      <c r="J8" s="8" t="s">
        <v>64</v>
      </c>
      <c r="K8" s="7" t="s">
        <v>68</v>
      </c>
      <c r="L8" s="6"/>
      <c r="N8" s="1" t="s">
        <v>150</v>
      </c>
    </row>
    <row r="9" spans="1:14" x14ac:dyDescent="0.15">
      <c r="A9" s="7" t="s">
        <v>12</v>
      </c>
      <c r="B9" s="13" t="s">
        <v>28</v>
      </c>
      <c r="C9" s="16"/>
      <c r="D9" s="12" t="s">
        <v>85</v>
      </c>
      <c r="E9" s="13"/>
      <c r="F9" s="13">
        <v>1280</v>
      </c>
      <c r="G9" s="13">
        <v>1024</v>
      </c>
      <c r="H9" s="13">
        <v>43</v>
      </c>
      <c r="I9" s="8">
        <f t="shared" si="0"/>
        <v>16.929133858267715</v>
      </c>
      <c r="J9" s="8" t="s">
        <v>62</v>
      </c>
      <c r="K9" s="7" t="s">
        <v>89</v>
      </c>
      <c r="L9" s="6"/>
      <c r="N9" s="1" t="s">
        <v>151</v>
      </c>
    </row>
    <row r="10" spans="1:14" x14ac:dyDescent="0.15">
      <c r="A10" s="7" t="s">
        <v>12</v>
      </c>
      <c r="B10" s="13" t="s">
        <v>29</v>
      </c>
      <c r="C10" s="16"/>
      <c r="D10" s="12" t="s">
        <v>94</v>
      </c>
      <c r="E10" s="13"/>
      <c r="F10" s="13">
        <v>1280</v>
      </c>
      <c r="G10" s="13">
        <v>1024</v>
      </c>
      <c r="H10" s="13">
        <v>48</v>
      </c>
      <c r="I10" s="8">
        <f t="shared" si="0"/>
        <v>18.897637795275589</v>
      </c>
      <c r="J10" s="8" t="s">
        <v>62</v>
      </c>
      <c r="K10" s="7"/>
      <c r="L10" s="6"/>
      <c r="N10" s="1" t="s">
        <v>152</v>
      </c>
    </row>
    <row r="11" spans="1:14" x14ac:dyDescent="0.15">
      <c r="A11" s="7" t="s">
        <v>12</v>
      </c>
      <c r="B11" s="13" t="s">
        <v>32</v>
      </c>
      <c r="C11" s="11" t="s">
        <v>167</v>
      </c>
      <c r="D11" s="12" t="s">
        <v>95</v>
      </c>
      <c r="E11" s="13"/>
      <c r="F11" s="13">
        <v>1280</v>
      </c>
      <c r="G11" s="13">
        <v>1024</v>
      </c>
      <c r="H11" s="13">
        <v>48</v>
      </c>
      <c r="I11" s="8">
        <f t="shared" si="0"/>
        <v>18.897637795275589</v>
      </c>
      <c r="J11" s="8" t="s">
        <v>62</v>
      </c>
      <c r="K11" s="7"/>
      <c r="L11" s="6"/>
      <c r="N11" s="1" t="s">
        <v>153</v>
      </c>
    </row>
    <row r="12" spans="1:14" x14ac:dyDescent="0.15">
      <c r="A12" s="7" t="s">
        <v>14</v>
      </c>
      <c r="B12" s="13" t="s">
        <v>111</v>
      </c>
      <c r="C12" s="16"/>
      <c r="D12" s="15" t="s">
        <v>96</v>
      </c>
      <c r="E12" s="13"/>
      <c r="F12" s="13">
        <v>1280</v>
      </c>
      <c r="G12" s="13">
        <v>1024</v>
      </c>
      <c r="H12" s="13">
        <v>43</v>
      </c>
      <c r="I12" s="8">
        <f t="shared" si="0"/>
        <v>16.929133858267715</v>
      </c>
      <c r="J12" s="8" t="s">
        <v>64</v>
      </c>
      <c r="K12" s="7"/>
      <c r="L12" s="6" t="s">
        <v>78</v>
      </c>
      <c r="N12" s="1" t="s">
        <v>154</v>
      </c>
    </row>
    <row r="13" spans="1:14" x14ac:dyDescent="0.15">
      <c r="A13" s="7" t="s">
        <v>12</v>
      </c>
      <c r="B13" s="13" t="s">
        <v>34</v>
      </c>
      <c r="C13" s="15" t="s">
        <v>97</v>
      </c>
      <c r="D13" s="15" t="s">
        <v>97</v>
      </c>
      <c r="E13" s="13"/>
      <c r="F13" s="13">
        <v>1280</v>
      </c>
      <c r="G13" s="13">
        <v>1024</v>
      </c>
      <c r="H13" s="13">
        <v>48</v>
      </c>
      <c r="I13" s="8">
        <f t="shared" si="0"/>
        <v>18.897637795275589</v>
      </c>
      <c r="J13" s="8" t="s">
        <v>63</v>
      </c>
      <c r="K13" s="7" t="s">
        <v>69</v>
      </c>
      <c r="L13" s="6"/>
      <c r="N13" s="1" t="s">
        <v>155</v>
      </c>
    </row>
    <row r="14" spans="1:14" x14ac:dyDescent="0.15">
      <c r="A14" s="7" t="s">
        <v>12</v>
      </c>
      <c r="B14" s="13" t="s">
        <v>35</v>
      </c>
      <c r="C14" s="16"/>
      <c r="D14" s="12" t="s">
        <v>98</v>
      </c>
      <c r="E14" s="13"/>
      <c r="F14" s="13">
        <v>1280</v>
      </c>
      <c r="G14" s="13">
        <v>1024</v>
      </c>
      <c r="H14" s="13">
        <v>43</v>
      </c>
      <c r="I14" s="8">
        <f t="shared" si="0"/>
        <v>16.929133858267715</v>
      </c>
      <c r="J14" s="8" t="s">
        <v>62</v>
      </c>
      <c r="K14" s="7"/>
      <c r="L14" s="6"/>
      <c r="N14" s="1" t="s">
        <v>156</v>
      </c>
    </row>
    <row r="15" spans="1:14" x14ac:dyDescent="0.15">
      <c r="A15" s="18" t="s">
        <v>10</v>
      </c>
      <c r="B15" s="19" t="s">
        <v>40</v>
      </c>
      <c r="C15" s="19" t="s">
        <v>114</v>
      </c>
      <c r="D15" s="19" t="s">
        <v>114</v>
      </c>
      <c r="E15" s="18"/>
      <c r="F15" s="19">
        <v>1280</v>
      </c>
      <c r="G15" s="19">
        <v>1024</v>
      </c>
      <c r="H15" s="19">
        <v>48</v>
      </c>
      <c r="I15" s="20">
        <f t="shared" si="0"/>
        <v>18.897637795275589</v>
      </c>
      <c r="J15" s="20" t="s">
        <v>62</v>
      </c>
      <c r="K15" s="18"/>
      <c r="L15" s="6"/>
      <c r="N15" s="1" t="s">
        <v>157</v>
      </c>
    </row>
    <row r="16" spans="1:14" x14ac:dyDescent="0.15">
      <c r="A16" s="7" t="s">
        <v>12</v>
      </c>
      <c r="B16" s="13" t="s">
        <v>34</v>
      </c>
      <c r="C16" s="15" t="s">
        <v>166</v>
      </c>
      <c r="D16" s="12" t="s">
        <v>99</v>
      </c>
      <c r="E16" s="7"/>
      <c r="F16" s="13">
        <v>1280</v>
      </c>
      <c r="G16" s="13">
        <v>1024</v>
      </c>
      <c r="H16" s="13">
        <v>48</v>
      </c>
      <c r="I16" s="8">
        <f t="shared" si="0"/>
        <v>18.897637795275589</v>
      </c>
      <c r="J16" s="8" t="s">
        <v>63</v>
      </c>
      <c r="K16" s="7" t="s">
        <v>69</v>
      </c>
      <c r="L16" s="6"/>
    </row>
    <row r="17" spans="1:12" x14ac:dyDescent="0.15">
      <c r="A17" s="7" t="s">
        <v>41</v>
      </c>
      <c r="B17" s="13" t="s">
        <v>42</v>
      </c>
      <c r="C17" s="16"/>
      <c r="D17" s="15" t="s">
        <v>100</v>
      </c>
      <c r="E17" s="13" t="s">
        <v>113</v>
      </c>
      <c r="F17" s="13">
        <v>1280</v>
      </c>
      <c r="G17" s="13">
        <v>1024</v>
      </c>
      <c r="H17" s="13">
        <v>48</v>
      </c>
      <c r="I17" s="8">
        <f t="shared" si="0"/>
        <v>18.897637795275589</v>
      </c>
      <c r="J17" s="8" t="s">
        <v>62</v>
      </c>
      <c r="K17" s="7"/>
      <c r="L17" s="6"/>
    </row>
    <row r="18" spans="1:12" x14ac:dyDescent="0.15">
      <c r="A18" s="7" t="s">
        <v>18</v>
      </c>
      <c r="B18" s="13" t="s">
        <v>112</v>
      </c>
      <c r="C18" s="16"/>
      <c r="D18" s="15" t="s">
        <v>101</v>
      </c>
      <c r="E18" s="13"/>
      <c r="F18" s="13">
        <v>1280</v>
      </c>
      <c r="G18" s="13">
        <v>1024</v>
      </c>
      <c r="H18" s="13">
        <v>48</v>
      </c>
      <c r="I18" s="8">
        <f t="shared" si="0"/>
        <v>18.897637795275589</v>
      </c>
      <c r="J18" s="8" t="s">
        <v>64</v>
      </c>
      <c r="K18" s="7" t="s">
        <v>69</v>
      </c>
      <c r="L18" s="6" t="s">
        <v>78</v>
      </c>
    </row>
    <row r="19" spans="1:12" x14ac:dyDescent="0.15">
      <c r="A19" s="18" t="s">
        <v>24</v>
      </c>
      <c r="B19" s="19" t="s">
        <v>52</v>
      </c>
      <c r="C19" s="21" t="s">
        <v>53</v>
      </c>
      <c r="D19" s="19" t="s">
        <v>53</v>
      </c>
      <c r="E19" s="19"/>
      <c r="F19" s="19">
        <v>1440</v>
      </c>
      <c r="G19" s="19">
        <v>900</v>
      </c>
      <c r="H19" s="19">
        <v>48</v>
      </c>
      <c r="I19" s="20">
        <f t="shared" si="0"/>
        <v>18.897637795275589</v>
      </c>
      <c r="J19" s="20" t="s">
        <v>64</v>
      </c>
      <c r="K19" s="18"/>
      <c r="L19" s="6"/>
    </row>
    <row r="20" spans="1:12" x14ac:dyDescent="0.15">
      <c r="A20" s="7" t="s">
        <v>24</v>
      </c>
      <c r="B20" s="13" t="s">
        <v>56</v>
      </c>
      <c r="D20" s="15" t="s">
        <v>57</v>
      </c>
      <c r="E20" s="13" t="s">
        <v>165</v>
      </c>
      <c r="F20" s="13">
        <v>1440</v>
      </c>
      <c r="G20" s="13">
        <v>900</v>
      </c>
      <c r="H20" s="13">
        <v>43</v>
      </c>
      <c r="I20" s="8">
        <f t="shared" si="0"/>
        <v>16.929133858267715</v>
      </c>
      <c r="J20" s="8" t="s">
        <v>62</v>
      </c>
      <c r="K20" s="7"/>
      <c r="L20" s="6"/>
    </row>
    <row r="21" spans="1:12" x14ac:dyDescent="0.15">
      <c r="A21" s="7" t="s">
        <v>12</v>
      </c>
      <c r="B21" s="13" t="s">
        <v>38</v>
      </c>
      <c r="C21" s="13" t="s">
        <v>36</v>
      </c>
      <c r="D21" s="13" t="s">
        <v>36</v>
      </c>
      <c r="E21" s="13"/>
      <c r="F21" s="13">
        <v>1680</v>
      </c>
      <c r="G21" s="13">
        <v>1050</v>
      </c>
      <c r="H21" s="13">
        <v>55</v>
      </c>
      <c r="I21" s="8">
        <f t="shared" si="0"/>
        <v>21.653543307086615</v>
      </c>
      <c r="J21" s="8" t="s">
        <v>39</v>
      </c>
      <c r="K21" s="7"/>
      <c r="L21" s="6"/>
    </row>
    <row r="22" spans="1:12" x14ac:dyDescent="0.15">
      <c r="A22" s="7" t="s">
        <v>24</v>
      </c>
      <c r="B22" s="13" t="s">
        <v>37</v>
      </c>
      <c r="C22" s="12" t="s">
        <v>73</v>
      </c>
      <c r="D22" s="13" t="s">
        <v>9</v>
      </c>
      <c r="E22" s="13"/>
      <c r="F22" s="13">
        <v>1680</v>
      </c>
      <c r="G22" s="13">
        <v>1050</v>
      </c>
      <c r="H22" s="13">
        <v>55</v>
      </c>
      <c r="I22" s="8">
        <f t="shared" si="0"/>
        <v>21.653543307086615</v>
      </c>
      <c r="J22" s="8" t="s">
        <v>39</v>
      </c>
      <c r="K22" s="7" t="s">
        <v>69</v>
      </c>
      <c r="L22" s="6" t="s">
        <v>78</v>
      </c>
    </row>
    <row r="23" spans="1:12" x14ac:dyDescent="0.15">
      <c r="A23" s="7" t="s">
        <v>24</v>
      </c>
      <c r="B23" s="13" t="s">
        <v>44</v>
      </c>
      <c r="C23" s="13" t="s">
        <v>102</v>
      </c>
      <c r="D23" s="13" t="s">
        <v>102</v>
      </c>
      <c r="E23" s="13"/>
      <c r="F23" s="13">
        <v>1680</v>
      </c>
      <c r="G23" s="13">
        <v>1050</v>
      </c>
      <c r="H23" s="13">
        <v>61</v>
      </c>
      <c r="I23" s="8">
        <f t="shared" si="0"/>
        <v>24.015748031496063</v>
      </c>
      <c r="J23" s="8" t="s">
        <v>63</v>
      </c>
      <c r="K23" s="7"/>
      <c r="L23" s="6" t="s">
        <v>78</v>
      </c>
    </row>
    <row r="24" spans="1:12" x14ac:dyDescent="0.15">
      <c r="A24" s="7" t="s">
        <v>24</v>
      </c>
      <c r="B24" s="13" t="s">
        <v>37</v>
      </c>
      <c r="C24" s="13" t="s">
        <v>103</v>
      </c>
      <c r="D24" s="13" t="s">
        <v>103</v>
      </c>
      <c r="E24" s="13"/>
      <c r="F24" s="13">
        <v>1680</v>
      </c>
      <c r="G24" s="13">
        <v>1050</v>
      </c>
      <c r="H24" s="13">
        <v>55</v>
      </c>
      <c r="I24" s="8">
        <f t="shared" si="0"/>
        <v>21.653543307086615</v>
      </c>
      <c r="J24" s="8" t="s">
        <v>39</v>
      </c>
      <c r="K24" s="7" t="s">
        <v>69</v>
      </c>
      <c r="L24" s="6" t="s">
        <v>78</v>
      </c>
    </row>
    <row r="25" spans="1:12" x14ac:dyDescent="0.15">
      <c r="A25" s="7" t="s">
        <v>24</v>
      </c>
      <c r="B25" s="13" t="s">
        <v>46</v>
      </c>
      <c r="C25" s="16" t="s">
        <v>160</v>
      </c>
      <c r="D25" s="13" t="s">
        <v>47</v>
      </c>
      <c r="E25" s="13"/>
      <c r="F25" s="13">
        <v>1680</v>
      </c>
      <c r="G25" s="13">
        <v>1050</v>
      </c>
      <c r="H25" s="13">
        <v>56</v>
      </c>
      <c r="I25" s="25">
        <f t="shared" si="0"/>
        <v>22.047244094488189</v>
      </c>
      <c r="J25" s="8" t="s">
        <v>39</v>
      </c>
      <c r="K25" s="7"/>
      <c r="L25" s="6"/>
    </row>
    <row r="26" spans="1:12" x14ac:dyDescent="0.15">
      <c r="A26" s="18" t="s">
        <v>24</v>
      </c>
      <c r="B26" s="19" t="s">
        <v>50</v>
      </c>
      <c r="C26" s="19" t="s">
        <v>51</v>
      </c>
      <c r="D26" s="19" t="s">
        <v>51</v>
      </c>
      <c r="E26" s="19"/>
      <c r="F26" s="19">
        <v>1680</v>
      </c>
      <c r="G26" s="19">
        <v>1050</v>
      </c>
      <c r="H26" s="19">
        <v>51</v>
      </c>
      <c r="I26" s="20">
        <f t="shared" si="0"/>
        <v>20.078740157480315</v>
      </c>
      <c r="J26" s="20" t="s">
        <v>63</v>
      </c>
      <c r="K26" s="18"/>
      <c r="L26" s="6"/>
    </row>
    <row r="27" spans="1:12" x14ac:dyDescent="0.15">
      <c r="A27" s="18" t="s">
        <v>24</v>
      </c>
      <c r="B27" s="19" t="s">
        <v>37</v>
      </c>
      <c r="C27" s="19" t="s">
        <v>54</v>
      </c>
      <c r="D27" s="19" t="s">
        <v>54</v>
      </c>
      <c r="E27" s="19"/>
      <c r="F27" s="19">
        <v>1680</v>
      </c>
      <c r="G27" s="19">
        <v>1050</v>
      </c>
      <c r="H27" s="19">
        <v>55</v>
      </c>
      <c r="I27" s="20">
        <f t="shared" si="0"/>
        <v>21.653543307086615</v>
      </c>
      <c r="J27" s="20" t="s">
        <v>39</v>
      </c>
      <c r="K27" s="18"/>
      <c r="L27" s="6"/>
    </row>
    <row r="28" spans="1:12" x14ac:dyDescent="0.15">
      <c r="A28" s="18" t="s">
        <v>24</v>
      </c>
      <c r="B28" s="19" t="s">
        <v>50</v>
      </c>
      <c r="C28" s="19" t="s">
        <v>55</v>
      </c>
      <c r="D28" s="19" t="s">
        <v>55</v>
      </c>
      <c r="E28" s="19"/>
      <c r="F28" s="19">
        <v>1680</v>
      </c>
      <c r="G28" s="19">
        <v>1050</v>
      </c>
      <c r="H28" s="19">
        <v>51</v>
      </c>
      <c r="I28" s="20">
        <f t="shared" si="0"/>
        <v>20.078740157480315</v>
      </c>
      <c r="J28" s="20" t="s">
        <v>63</v>
      </c>
      <c r="K28" s="18"/>
      <c r="L28" s="6"/>
    </row>
    <row r="29" spans="1:12" x14ac:dyDescent="0.15">
      <c r="A29" s="7" t="s">
        <v>13</v>
      </c>
      <c r="B29" s="13" t="s">
        <v>15</v>
      </c>
      <c r="C29" s="11" t="s">
        <v>161</v>
      </c>
      <c r="D29" s="13" t="s">
        <v>9</v>
      </c>
      <c r="E29" s="13"/>
      <c r="F29" s="13">
        <v>1920</v>
      </c>
      <c r="G29" s="13">
        <v>1080</v>
      </c>
      <c r="H29" s="13">
        <v>55</v>
      </c>
      <c r="I29" s="25">
        <f t="shared" si="0"/>
        <v>21.653543307086615</v>
      </c>
      <c r="J29" s="8" t="s">
        <v>65</v>
      </c>
      <c r="K29" s="7" t="s">
        <v>70</v>
      </c>
      <c r="L29" s="6"/>
    </row>
    <row r="30" spans="1:12" x14ac:dyDescent="0.15">
      <c r="A30" s="3" t="s">
        <v>14</v>
      </c>
      <c r="B30" s="4" t="s">
        <v>110</v>
      </c>
      <c r="C30" s="4"/>
      <c r="D30" s="12" t="s">
        <v>86</v>
      </c>
      <c r="E30" s="4"/>
      <c r="F30" s="4">
        <v>1920</v>
      </c>
      <c r="G30" s="4">
        <v>1080</v>
      </c>
      <c r="H30" s="4">
        <v>60</v>
      </c>
      <c r="I30" s="5">
        <f t="shared" si="0"/>
        <v>23.622047244094489</v>
      </c>
      <c r="J30" s="5" t="s">
        <v>65</v>
      </c>
      <c r="K30" s="3" t="s">
        <v>71</v>
      </c>
      <c r="L30" s="6"/>
    </row>
    <row r="31" spans="1:12" x14ac:dyDescent="0.15">
      <c r="A31" s="7" t="s">
        <v>10</v>
      </c>
      <c r="B31" s="13" t="s">
        <v>22</v>
      </c>
      <c r="C31" s="13" t="s">
        <v>164</v>
      </c>
      <c r="D31" s="13" t="s">
        <v>23</v>
      </c>
      <c r="E31" s="13"/>
      <c r="F31" s="13">
        <v>1920</v>
      </c>
      <c r="G31" s="13">
        <v>1080</v>
      </c>
      <c r="H31" s="13">
        <v>55</v>
      </c>
      <c r="I31" s="25">
        <f t="shared" si="0"/>
        <v>21.653543307086615</v>
      </c>
      <c r="J31" s="8" t="s">
        <v>65</v>
      </c>
      <c r="K31" s="7" t="s">
        <v>72</v>
      </c>
      <c r="L31" s="6"/>
    </row>
    <row r="32" spans="1:12" x14ac:dyDescent="0.15">
      <c r="A32" s="7" t="s">
        <v>12</v>
      </c>
      <c r="B32" s="13" t="s">
        <v>25</v>
      </c>
      <c r="C32" s="13" t="s">
        <v>163</v>
      </c>
      <c r="D32" s="13" t="s">
        <v>26</v>
      </c>
      <c r="E32" s="13"/>
      <c r="F32" s="13">
        <v>1920</v>
      </c>
      <c r="G32" s="13">
        <v>1080</v>
      </c>
      <c r="H32" s="13">
        <v>54</v>
      </c>
      <c r="I32" s="25">
        <f t="shared" si="0"/>
        <v>21.259842519685041</v>
      </c>
      <c r="J32" s="8" t="s">
        <v>65</v>
      </c>
      <c r="K32" s="7" t="s">
        <v>27</v>
      </c>
      <c r="L32" s="6"/>
    </row>
    <row r="33" spans="1:12" x14ac:dyDescent="0.15">
      <c r="A33" s="3" t="s">
        <v>14</v>
      </c>
      <c r="B33" s="4" t="s">
        <v>110</v>
      </c>
      <c r="C33" s="4"/>
      <c r="D33" s="12" t="s">
        <v>80</v>
      </c>
      <c r="E33" s="4"/>
      <c r="F33" s="4">
        <v>1920</v>
      </c>
      <c r="G33" s="4">
        <v>1080</v>
      </c>
      <c r="H33" s="4">
        <v>60</v>
      </c>
      <c r="I33" s="5">
        <f>H33/2.54</f>
        <v>23.622047244094489</v>
      </c>
      <c r="J33" s="5" t="s">
        <v>63</v>
      </c>
      <c r="K33" s="3" t="s">
        <v>71</v>
      </c>
      <c r="L33" s="6"/>
    </row>
    <row r="34" spans="1:12" x14ac:dyDescent="0.15">
      <c r="A34" s="7" t="s">
        <v>14</v>
      </c>
      <c r="B34" s="13" t="s">
        <v>31</v>
      </c>
      <c r="C34" s="13" t="s">
        <v>162</v>
      </c>
      <c r="D34" s="13" t="s">
        <v>20</v>
      </c>
      <c r="E34" s="13"/>
      <c r="F34" s="13">
        <v>1920</v>
      </c>
      <c r="G34" s="13">
        <v>1080</v>
      </c>
      <c r="H34" s="13">
        <v>68</v>
      </c>
      <c r="I34" s="25">
        <f>H34/2.54</f>
        <v>26.771653543307085</v>
      </c>
      <c r="J34" s="8" t="s">
        <v>65</v>
      </c>
      <c r="K34" s="7"/>
      <c r="L34" s="6" t="s">
        <v>78</v>
      </c>
    </row>
    <row r="35" spans="1:12" x14ac:dyDescent="0.15">
      <c r="A35" s="3" t="s">
        <v>14</v>
      </c>
      <c r="B35" s="4" t="s">
        <v>110</v>
      </c>
      <c r="C35" s="4"/>
      <c r="D35" s="12" t="s">
        <v>81</v>
      </c>
      <c r="E35" s="4"/>
      <c r="F35" s="4">
        <v>1920</v>
      </c>
      <c r="G35" s="4">
        <v>1080</v>
      </c>
      <c r="H35" s="4">
        <v>60</v>
      </c>
      <c r="I35" s="5">
        <f t="shared" si="0"/>
        <v>23.622047244094489</v>
      </c>
      <c r="J35" s="5" t="s">
        <v>63</v>
      </c>
      <c r="K35" s="3" t="s">
        <v>71</v>
      </c>
      <c r="L35" s="6"/>
    </row>
    <row r="36" spans="1:12" x14ac:dyDescent="0.15">
      <c r="A36" s="7" t="s">
        <v>24</v>
      </c>
      <c r="B36" s="13" t="s">
        <v>43</v>
      </c>
      <c r="C36" s="13" t="s">
        <v>96</v>
      </c>
      <c r="D36" s="13" t="s">
        <v>96</v>
      </c>
      <c r="E36" s="13"/>
      <c r="F36" s="13">
        <v>1920</v>
      </c>
      <c r="G36" s="13">
        <v>1080</v>
      </c>
      <c r="H36" s="13">
        <v>63</v>
      </c>
      <c r="I36" s="8">
        <f t="shared" si="0"/>
        <v>24.803149606299211</v>
      </c>
      <c r="J36" s="8" t="s">
        <v>63</v>
      </c>
      <c r="K36" s="7" t="s">
        <v>69</v>
      </c>
      <c r="L36" s="6" t="s">
        <v>78</v>
      </c>
    </row>
    <row r="37" spans="1:12" x14ac:dyDescent="0.15">
      <c r="A37" s="7" t="s">
        <v>30</v>
      </c>
      <c r="B37" s="13" t="s">
        <v>45</v>
      </c>
      <c r="C37" s="13" t="s">
        <v>140</v>
      </c>
      <c r="D37" s="24" t="s">
        <v>140</v>
      </c>
      <c r="E37" s="13"/>
      <c r="F37" s="13">
        <v>1920</v>
      </c>
      <c r="G37" s="13">
        <v>1080</v>
      </c>
      <c r="H37" s="13">
        <v>69</v>
      </c>
      <c r="I37" s="8">
        <f t="shared" si="0"/>
        <v>27.165354330708659</v>
      </c>
      <c r="J37" s="8" t="s">
        <v>65</v>
      </c>
      <c r="K37" s="7"/>
      <c r="L37" s="6" t="s">
        <v>78</v>
      </c>
    </row>
    <row r="38" spans="1:12" x14ac:dyDescent="0.15">
      <c r="A38" s="7" t="s">
        <v>24</v>
      </c>
      <c r="B38" s="13" t="s">
        <v>43</v>
      </c>
      <c r="C38" s="30" t="s">
        <v>162</v>
      </c>
      <c r="D38" s="13" t="s">
        <v>57</v>
      </c>
      <c r="E38" s="13"/>
      <c r="F38" s="13">
        <v>1920</v>
      </c>
      <c r="G38" s="13">
        <v>1080</v>
      </c>
      <c r="H38" s="13">
        <v>59</v>
      </c>
      <c r="I38" s="25">
        <f t="shared" si="0"/>
        <v>23.228346456692915</v>
      </c>
      <c r="J38" s="8" t="s">
        <v>63</v>
      </c>
      <c r="K38" s="7"/>
      <c r="L38" s="6"/>
    </row>
    <row r="39" spans="1:12" x14ac:dyDescent="0.15">
      <c r="A39" s="7" t="s">
        <v>30</v>
      </c>
      <c r="B39" s="13" t="s">
        <v>58</v>
      </c>
      <c r="C39" s="13" t="s">
        <v>59</v>
      </c>
      <c r="D39" s="13" t="s">
        <v>59</v>
      </c>
      <c r="E39" s="13"/>
      <c r="F39" s="13">
        <v>1920</v>
      </c>
      <c r="G39" s="13">
        <v>1080</v>
      </c>
      <c r="H39" s="13">
        <v>68</v>
      </c>
      <c r="I39" s="8">
        <f t="shared" si="0"/>
        <v>26.771653543307085</v>
      </c>
      <c r="J39" s="8" t="s">
        <v>65</v>
      </c>
      <c r="K39" s="7"/>
      <c r="L39" s="6"/>
    </row>
    <row r="40" spans="1:12" x14ac:dyDescent="0.15">
      <c r="A40" s="18" t="s">
        <v>24</v>
      </c>
      <c r="B40" s="19" t="s">
        <v>48</v>
      </c>
      <c r="C40" s="19" t="s">
        <v>49</v>
      </c>
      <c r="D40" s="19" t="s">
        <v>49</v>
      </c>
      <c r="E40" s="19"/>
      <c r="F40" s="19">
        <v>2048</v>
      </c>
      <c r="G40" s="19">
        <v>1152</v>
      </c>
      <c r="H40" s="19">
        <v>68</v>
      </c>
      <c r="I40" s="20">
        <f t="shared" si="0"/>
        <v>26.771653543307085</v>
      </c>
      <c r="J40" s="20" t="s">
        <v>66</v>
      </c>
      <c r="K40" s="18"/>
      <c r="L40" s="6"/>
    </row>
    <row r="41" spans="1:12" x14ac:dyDescent="0.15">
      <c r="A41" s="7"/>
      <c r="B41" s="13" t="s">
        <v>60</v>
      </c>
      <c r="C41" s="13" t="s">
        <v>59</v>
      </c>
      <c r="D41" s="13" t="s">
        <v>59</v>
      </c>
      <c r="E41" s="13"/>
      <c r="F41" s="13"/>
      <c r="G41" s="13"/>
      <c r="H41" s="13">
        <v>51</v>
      </c>
      <c r="I41" s="8">
        <f t="shared" si="0"/>
        <v>20.078740157480315</v>
      </c>
      <c r="J41" s="8" t="s">
        <v>63</v>
      </c>
      <c r="K41" s="7" t="s">
        <v>69</v>
      </c>
      <c r="L41" s="6"/>
    </row>
    <row r="42" spans="1:12" x14ac:dyDescent="0.15">
      <c r="A42" s="3" t="s">
        <v>41</v>
      </c>
      <c r="B42" s="4" t="s">
        <v>108</v>
      </c>
      <c r="C42" s="4" t="s">
        <v>79</v>
      </c>
      <c r="D42" s="4" t="s">
        <v>79</v>
      </c>
      <c r="E42" s="3"/>
      <c r="F42" s="4">
        <v>1920</v>
      </c>
      <c r="G42" s="14">
        <v>1080</v>
      </c>
      <c r="H42" s="4">
        <v>60</v>
      </c>
      <c r="I42" s="8">
        <f t="shared" si="0"/>
        <v>23.622047244094489</v>
      </c>
      <c r="J42" s="8" t="s">
        <v>63</v>
      </c>
      <c r="K42" s="3" t="s">
        <v>71</v>
      </c>
      <c r="L42" s="6"/>
    </row>
    <row r="43" spans="1:12" x14ac:dyDescent="0.15">
      <c r="A43" s="7" t="s">
        <v>90</v>
      </c>
      <c r="B43" s="13" t="s">
        <v>107</v>
      </c>
      <c r="C43" s="13"/>
      <c r="D43" s="15" t="s">
        <v>105</v>
      </c>
      <c r="E43" s="7"/>
      <c r="F43" s="7"/>
      <c r="G43" s="7"/>
      <c r="H43" s="13">
        <v>48</v>
      </c>
      <c r="I43" s="8">
        <f t="shared" si="0"/>
        <v>18.897637795275589</v>
      </c>
      <c r="J43" s="7"/>
      <c r="K43" s="7"/>
      <c r="L43" s="6"/>
    </row>
    <row r="44" spans="1:12" x14ac:dyDescent="0.15">
      <c r="C44" s="28"/>
      <c r="D44" s="23" t="s">
        <v>117</v>
      </c>
    </row>
    <row r="45" spans="1:12" x14ac:dyDescent="0.15">
      <c r="A45" s="27" t="s">
        <v>139</v>
      </c>
      <c r="B45" s="11" t="s">
        <v>143</v>
      </c>
      <c r="C45" s="28" t="s">
        <v>141</v>
      </c>
      <c r="D45" s="11" t="s">
        <v>142</v>
      </c>
    </row>
    <row r="46" spans="1:12" x14ac:dyDescent="0.15">
      <c r="A46" s="27"/>
      <c r="B46" s="11"/>
      <c r="C46" s="29"/>
      <c r="D46" s="11"/>
    </row>
    <row r="48" spans="1:12" x14ac:dyDescent="0.15">
      <c r="A48" s="1" t="s">
        <v>75</v>
      </c>
      <c r="B48" s="1">
        <f>COUNTA(B4:B43)</f>
        <v>40</v>
      </c>
      <c r="H48" s="1" t="s">
        <v>133</v>
      </c>
      <c r="I48" s="1">
        <v>10</v>
      </c>
      <c r="J48" s="1">
        <v>11</v>
      </c>
      <c r="K48" s="1" t="s">
        <v>136</v>
      </c>
    </row>
    <row r="49" spans="1:9" x14ac:dyDescent="0.15">
      <c r="A49" s="1" t="s">
        <v>76</v>
      </c>
      <c r="B49" s="1">
        <v>33</v>
      </c>
      <c r="C49" s="1" t="s">
        <v>116</v>
      </c>
      <c r="H49" s="1" t="s">
        <v>134</v>
      </c>
      <c r="I49" s="1">
        <v>6</v>
      </c>
    </row>
    <row r="50" spans="1:9" x14ac:dyDescent="0.15">
      <c r="A50" s="1" t="s">
        <v>115</v>
      </c>
      <c r="B50" s="1">
        <v>6</v>
      </c>
      <c r="H50" s="1" t="s">
        <v>137</v>
      </c>
      <c r="I50" s="1">
        <v>3</v>
      </c>
    </row>
    <row r="51" spans="1:9" ht="27" x14ac:dyDescent="0.15">
      <c r="A51" s="2" t="s">
        <v>77</v>
      </c>
      <c r="B51" s="1">
        <f>(B48-B50)-B49</f>
        <v>1</v>
      </c>
      <c r="H51" s="27" t="s">
        <v>135</v>
      </c>
      <c r="I51" s="27">
        <f>I49-I50</f>
        <v>3</v>
      </c>
    </row>
    <row r="52" spans="1:9" x14ac:dyDescent="0.15">
      <c r="A52" s="2" t="s">
        <v>91</v>
      </c>
      <c r="B52" s="1">
        <f>B51-1</f>
        <v>0</v>
      </c>
      <c r="C52" s="1">
        <v>-1</v>
      </c>
      <c r="D52" s="11"/>
    </row>
    <row r="55" spans="1:9" x14ac:dyDescent="0.15">
      <c r="D55" s="22"/>
      <c r="E55" s="1" t="s">
        <v>106</v>
      </c>
    </row>
    <row r="56" spans="1:9" x14ac:dyDescent="0.15">
      <c r="D56" s="9"/>
      <c r="E56" s="1" t="s">
        <v>84</v>
      </c>
    </row>
    <row r="57" spans="1:9" x14ac:dyDescent="0.15">
      <c r="D57" s="10"/>
      <c r="E57" s="1" t="s">
        <v>71</v>
      </c>
    </row>
  </sheetData>
  <mergeCells count="10">
    <mergeCell ref="H2:H3"/>
    <mergeCell ref="I2:I3"/>
    <mergeCell ref="J2:J3"/>
    <mergeCell ref="K2:K3"/>
    <mergeCell ref="A2:A3"/>
    <mergeCell ref="B2:B3"/>
    <mergeCell ref="C2:C3"/>
    <mergeCell ref="D2:D3"/>
    <mergeCell ref="E2:E3"/>
    <mergeCell ref="F2:G2"/>
  </mergeCells>
  <phoneticPr fontId="1"/>
  <pageMargins left="0.25" right="0.25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C10" sqref="C10"/>
    </sheetView>
  </sheetViews>
  <sheetFormatPr defaultRowHeight="13.5" x14ac:dyDescent="0.15"/>
  <cols>
    <col min="10" max="10" width="43.875" customWidth="1"/>
  </cols>
  <sheetData>
    <row r="1" spans="1:11" x14ac:dyDescent="0.15">
      <c r="A1" t="s">
        <v>84</v>
      </c>
    </row>
    <row r="2" spans="1:11" x14ac:dyDescent="0.15">
      <c r="A2">
        <v>1</v>
      </c>
      <c r="B2" t="s">
        <v>118</v>
      </c>
      <c r="C2" t="s">
        <v>119</v>
      </c>
      <c r="J2" t="s">
        <v>138</v>
      </c>
      <c r="K2">
        <v>3</v>
      </c>
    </row>
    <row r="3" spans="1:11" x14ac:dyDescent="0.15">
      <c r="A3">
        <v>2</v>
      </c>
      <c r="B3" t="s">
        <v>120</v>
      </c>
      <c r="C3" t="s">
        <v>121</v>
      </c>
      <c r="K3">
        <v>8</v>
      </c>
    </row>
    <row r="4" spans="1:11" x14ac:dyDescent="0.15">
      <c r="A4">
        <v>3</v>
      </c>
      <c r="B4" t="s">
        <v>122</v>
      </c>
      <c r="C4" t="s">
        <v>119</v>
      </c>
    </row>
    <row r="5" spans="1:11" x14ac:dyDescent="0.15">
      <c r="A5">
        <v>4</v>
      </c>
      <c r="B5" t="s">
        <v>123</v>
      </c>
      <c r="C5" t="s">
        <v>124</v>
      </c>
    </row>
    <row r="6" spans="1:11" x14ac:dyDescent="0.15">
      <c r="A6">
        <v>5</v>
      </c>
      <c r="B6" s="26" t="s">
        <v>125</v>
      </c>
      <c r="C6" t="s">
        <v>126</v>
      </c>
    </row>
    <row r="7" spans="1:11" x14ac:dyDescent="0.15">
      <c r="A7">
        <v>6</v>
      </c>
      <c r="B7" t="s">
        <v>127</v>
      </c>
      <c r="C7" t="s">
        <v>121</v>
      </c>
    </row>
    <row r="8" spans="1:11" x14ac:dyDescent="0.15">
      <c r="A8">
        <v>7</v>
      </c>
      <c r="B8" t="s">
        <v>128</v>
      </c>
      <c r="C8" t="s">
        <v>121</v>
      </c>
    </row>
    <row r="9" spans="1:11" x14ac:dyDescent="0.15">
      <c r="A9">
        <v>8</v>
      </c>
      <c r="B9" s="26" t="s">
        <v>129</v>
      </c>
      <c r="C9" t="s">
        <v>130</v>
      </c>
    </row>
    <row r="10" spans="1:11" x14ac:dyDescent="0.15">
      <c r="A10">
        <v>9</v>
      </c>
      <c r="B10" s="26" t="s">
        <v>131</v>
      </c>
      <c r="C10" t="s">
        <v>121</v>
      </c>
    </row>
    <row r="11" spans="1:11" x14ac:dyDescent="0.15">
      <c r="A11">
        <v>10</v>
      </c>
      <c r="B11" t="s">
        <v>132</v>
      </c>
      <c r="C11" t="s">
        <v>119</v>
      </c>
    </row>
    <row r="12" spans="1:11" x14ac:dyDescent="0.15">
      <c r="A12" t="s">
        <v>159</v>
      </c>
      <c r="B12" t="s">
        <v>94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2016ディスプレイ配布</vt:lpstr>
      <vt:lpstr>配布シミュレーション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Owner</cp:lastModifiedBy>
  <cp:lastPrinted>2016-03-29T09:06:41Z</cp:lastPrinted>
  <dcterms:created xsi:type="dcterms:W3CDTF">2015-02-21T05:16:52Z</dcterms:created>
  <dcterms:modified xsi:type="dcterms:W3CDTF">2016-04-04T06:27:51Z</dcterms:modified>
</cp:coreProperties>
</file>